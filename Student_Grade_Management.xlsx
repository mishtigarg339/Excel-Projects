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dcab5fd13b2b0efa/Documents/"/>
    </mc:Choice>
  </mc:AlternateContent>
  <xr:revisionPtr revIDLastSave="0" documentId="8_{05956AE6-0F93-4D02-9681-9A4BB93C364C}" xr6:coauthVersionLast="47" xr6:coauthVersionMax="47" xr10:uidLastSave="{00000000-0000-0000-0000-000000000000}"/>
  <bookViews>
    <workbookView xWindow="-108" yWindow="-108" windowWidth="23256" windowHeight="13176" xr2:uid="{43338030-2ACD-45D8-8690-5CCB9C75544D}"/>
  </bookViews>
  <sheets>
    <sheet name="marksheet" sheetId="1" r:id="rId1"/>
  </sheets>
  <definedNames>
    <definedName name="Slicer_Gender">#N/A</definedName>
    <definedName name="Slicer_Grades">#N/A</definedName>
    <definedName name="Slicer_Name">#N/A</definedName>
    <definedName name="Slicer_Sect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K23" i="1" s="1"/>
  <c r="L23" i="1" s="1" a="1"/>
  <c r="L23" i="1" s="1"/>
  <c r="J24" i="1"/>
  <c r="J25" i="1"/>
  <c r="K25" i="1" s="1"/>
  <c r="L25" i="1" s="1" a="1"/>
  <c r="L25" i="1" s="1"/>
  <c r="J26" i="1"/>
  <c r="J27" i="1"/>
  <c r="J28" i="1"/>
  <c r="J29" i="1"/>
  <c r="J30" i="1"/>
  <c r="J31" i="1"/>
  <c r="J32" i="1"/>
  <c r="J33" i="1"/>
  <c r="J34" i="1"/>
  <c r="J35" i="1"/>
  <c r="J36" i="1"/>
  <c r="J37" i="1"/>
  <c r="K37" i="1" s="1"/>
  <c r="L37" i="1" s="1" a="1"/>
  <c r="L37" i="1" s="1"/>
  <c r="J38" i="1"/>
  <c r="J39" i="1"/>
  <c r="J40" i="1"/>
  <c r="J41" i="1"/>
  <c r="J42" i="1"/>
  <c r="J43" i="1"/>
  <c r="J44" i="1"/>
  <c r="J45" i="1"/>
  <c r="J46" i="1"/>
  <c r="J47" i="1"/>
  <c r="K47" i="1" s="1"/>
  <c r="L47" i="1" s="1" a="1"/>
  <c r="L47" i="1" s="1"/>
  <c r="J48" i="1"/>
  <c r="J49" i="1"/>
  <c r="K49" i="1" s="1"/>
  <c r="L49" i="1" s="1" a="1"/>
  <c r="L49" i="1" s="1"/>
  <c r="J50" i="1"/>
  <c r="J51" i="1"/>
  <c r="J52" i="1"/>
  <c r="J53" i="1"/>
  <c r="J54" i="1"/>
  <c r="J55" i="1"/>
  <c r="J56" i="1"/>
  <c r="J57" i="1"/>
  <c r="J58" i="1"/>
  <c r="J59" i="1"/>
  <c r="K59" i="1" s="1"/>
  <c r="L59" i="1" s="1" a="1"/>
  <c r="L59" i="1" s="1"/>
  <c r="J60" i="1"/>
  <c r="J61" i="1"/>
  <c r="K61" i="1" s="1"/>
  <c r="L61" i="1" s="1" a="1"/>
  <c r="L61" i="1" s="1"/>
  <c r="J62" i="1"/>
  <c r="J63" i="1"/>
  <c r="J64" i="1"/>
  <c r="J65" i="1"/>
  <c r="J66" i="1"/>
  <c r="J67" i="1"/>
  <c r="J68" i="1"/>
  <c r="J69" i="1"/>
  <c r="J70" i="1"/>
  <c r="J71" i="1"/>
  <c r="K71" i="1" s="1"/>
  <c r="L71" i="1" s="1" a="1"/>
  <c r="L71" i="1" s="1"/>
  <c r="J72" i="1"/>
  <c r="J73" i="1"/>
  <c r="K73" i="1" s="1"/>
  <c r="L73" i="1" s="1" a="1"/>
  <c r="L73" i="1" s="1"/>
  <c r="J74" i="1"/>
  <c r="J75" i="1"/>
  <c r="J76" i="1"/>
  <c r="J77" i="1"/>
  <c r="J78" i="1"/>
  <c r="J79" i="1"/>
  <c r="J80" i="1"/>
  <c r="J81" i="1"/>
  <c r="J82" i="1"/>
  <c r="J83" i="1"/>
  <c r="K83" i="1" s="1"/>
  <c r="L83" i="1" s="1" a="1"/>
  <c r="L83" i="1" s="1"/>
  <c r="J84" i="1"/>
  <c r="J85" i="1"/>
  <c r="K85" i="1" s="1"/>
  <c r="L85" i="1" s="1" a="1"/>
  <c r="L85" i="1" s="1"/>
  <c r="J86" i="1"/>
  <c r="J87" i="1"/>
  <c r="J88" i="1"/>
  <c r="J89" i="1"/>
  <c r="J90" i="1"/>
  <c r="J91" i="1"/>
  <c r="J92" i="1"/>
  <c r="J93" i="1"/>
  <c r="J94" i="1"/>
  <c r="J95" i="1"/>
  <c r="J96" i="1"/>
  <c r="J97" i="1"/>
  <c r="K97" i="1" s="1"/>
  <c r="L97" i="1" s="1" a="1"/>
  <c r="L97" i="1" s="1"/>
  <c r="J98" i="1"/>
  <c r="J99" i="1"/>
  <c r="J100" i="1"/>
  <c r="J101" i="1"/>
  <c r="J102" i="1"/>
  <c r="J103" i="1"/>
  <c r="J104" i="1"/>
  <c r="J105" i="1"/>
  <c r="J106" i="1"/>
  <c r="J107" i="1"/>
  <c r="J108" i="1"/>
  <c r="J109" i="1"/>
  <c r="K109" i="1" s="1"/>
  <c r="L109" i="1" s="1" a="1"/>
  <c r="L109" i="1" s="1"/>
  <c r="J110" i="1"/>
  <c r="J111" i="1"/>
  <c r="J112" i="1"/>
  <c r="J113" i="1"/>
  <c r="J114" i="1"/>
  <c r="J115" i="1"/>
  <c r="J116" i="1"/>
  <c r="J117" i="1"/>
  <c r="J118" i="1"/>
  <c r="J119" i="1"/>
  <c r="K119" i="1" s="1"/>
  <c r="L119" i="1" s="1" a="1"/>
  <c r="L119" i="1" s="1"/>
  <c r="J120" i="1"/>
  <c r="K120" i="1" s="1"/>
  <c r="L120" i="1" s="1" a="1"/>
  <c r="L120" i="1" s="1"/>
  <c r="J121" i="1"/>
  <c r="K121" i="1" s="1"/>
  <c r="L121" i="1" s="1" a="1"/>
  <c r="L121" i="1" s="1"/>
  <c r="J122" i="1"/>
  <c r="J123" i="1"/>
  <c r="J124" i="1"/>
  <c r="J125" i="1"/>
  <c r="J126" i="1"/>
  <c r="J127" i="1"/>
  <c r="J128" i="1"/>
  <c r="J129" i="1"/>
  <c r="J130" i="1"/>
  <c r="J131" i="1"/>
  <c r="K131" i="1" s="1"/>
  <c r="L131" i="1" s="1" a="1"/>
  <c r="L131" i="1" s="1"/>
  <c r="J132" i="1"/>
  <c r="J133" i="1"/>
  <c r="K133" i="1" s="1"/>
  <c r="L133" i="1" s="1" a="1"/>
  <c r="L133" i="1" s="1"/>
  <c r="J134" i="1"/>
  <c r="J135" i="1"/>
  <c r="J136" i="1"/>
  <c r="J137" i="1"/>
  <c r="J138" i="1"/>
  <c r="J139" i="1"/>
  <c r="J140" i="1"/>
  <c r="J141" i="1"/>
  <c r="J142" i="1"/>
  <c r="J143" i="1"/>
  <c r="K143" i="1" s="1"/>
  <c r="L143" i="1" s="1" a="1"/>
  <c r="L143" i="1" s="1"/>
  <c r="J144" i="1"/>
  <c r="K144" i="1" s="1"/>
  <c r="L144" i="1" s="1" a="1"/>
  <c r="L144" i="1" s="1"/>
  <c r="J145" i="1"/>
  <c r="J146" i="1"/>
  <c r="J147" i="1"/>
  <c r="J148" i="1"/>
  <c r="J149" i="1"/>
  <c r="J150" i="1"/>
  <c r="J151" i="1"/>
  <c r="J152" i="1"/>
  <c r="J153" i="1"/>
  <c r="J154" i="1"/>
  <c r="J155" i="1"/>
  <c r="K155" i="1" s="1"/>
  <c r="L155" i="1" s="1" a="1"/>
  <c r="L155" i="1" s="1"/>
  <c r="J156" i="1"/>
  <c r="K156" i="1" s="1"/>
  <c r="L156" i="1" s="1" a="1"/>
  <c r="L156" i="1" s="1"/>
  <c r="J157" i="1"/>
  <c r="K157" i="1" s="1"/>
  <c r="L157" i="1" s="1" a="1"/>
  <c r="L157" i="1" s="1"/>
  <c r="J158" i="1"/>
  <c r="J159" i="1"/>
  <c r="J160" i="1"/>
  <c r="J161" i="1"/>
  <c r="J162" i="1"/>
  <c r="J163" i="1"/>
  <c r="J164" i="1"/>
  <c r="J165" i="1"/>
  <c r="J166" i="1"/>
  <c r="J167" i="1"/>
  <c r="K167" i="1" s="1"/>
  <c r="L167" i="1" s="1" a="1"/>
  <c r="L167" i="1" s="1"/>
  <c r="J168" i="1"/>
  <c r="J169" i="1"/>
  <c r="J170" i="1"/>
  <c r="J171" i="1"/>
  <c r="J172" i="1"/>
  <c r="J173" i="1"/>
  <c r="J174" i="1"/>
  <c r="J175" i="1"/>
  <c r="J176" i="1"/>
  <c r="J177" i="1"/>
  <c r="J178" i="1"/>
  <c r="J179" i="1"/>
  <c r="J180" i="1"/>
  <c r="K180" i="1" s="1"/>
  <c r="L180" i="1" s="1" a="1"/>
  <c r="L180" i="1" s="1"/>
  <c r="J181" i="1"/>
  <c r="K181" i="1" s="1"/>
  <c r="L181" i="1" s="1" a="1"/>
  <c r="L181" i="1" s="1"/>
  <c r="J182" i="1"/>
  <c r="J183" i="1"/>
  <c r="J184" i="1"/>
  <c r="J185" i="1"/>
  <c r="J186" i="1"/>
  <c r="J187" i="1"/>
  <c r="J188" i="1"/>
  <c r="J189" i="1"/>
  <c r="J190" i="1"/>
  <c r="J191" i="1"/>
  <c r="J192" i="1"/>
  <c r="K192" i="1" s="1"/>
  <c r="L192" i="1" s="1" a="1"/>
  <c r="L192" i="1" s="1"/>
  <c r="J193" i="1"/>
  <c r="K193" i="1" s="1"/>
  <c r="L193" i="1" s="1" a="1"/>
  <c r="L193" i="1" s="1"/>
  <c r="J194" i="1"/>
  <c r="J195" i="1"/>
  <c r="J196" i="1"/>
  <c r="J197" i="1"/>
  <c r="J198" i="1"/>
  <c r="J199" i="1"/>
  <c r="J200" i="1"/>
  <c r="J201" i="1"/>
  <c r="J202" i="1"/>
  <c r="J203" i="1"/>
  <c r="J204" i="1"/>
  <c r="K204" i="1" s="1"/>
  <c r="L204" i="1" s="1" a="1"/>
  <c r="L204" i="1" s="1"/>
  <c r="J205" i="1"/>
  <c r="K205" i="1" s="1"/>
  <c r="L205" i="1" s="1" a="1"/>
  <c r="L205" i="1" s="1"/>
  <c r="J206" i="1"/>
  <c r="J207" i="1"/>
  <c r="J208" i="1"/>
  <c r="J209" i="1"/>
  <c r="J210" i="1"/>
  <c r="J211" i="1"/>
  <c r="J212" i="1"/>
  <c r="J213" i="1"/>
  <c r="J214" i="1"/>
  <c r="J215" i="1"/>
  <c r="J216" i="1"/>
  <c r="K216" i="1" s="1"/>
  <c r="L216" i="1" s="1" a="1"/>
  <c r="L216" i="1" s="1"/>
  <c r="J217" i="1"/>
  <c r="K217" i="1" s="1"/>
  <c r="L217" i="1" s="1" a="1"/>
  <c r="L217" i="1" s="1"/>
  <c r="J218" i="1"/>
  <c r="J219" i="1"/>
  <c r="J220" i="1"/>
  <c r="J221" i="1"/>
  <c r="J222" i="1"/>
  <c r="J223" i="1"/>
  <c r="J224" i="1"/>
  <c r="J225" i="1"/>
  <c r="J226" i="1"/>
  <c r="J227" i="1"/>
  <c r="K227" i="1" s="1"/>
  <c r="L227" i="1" s="1" a="1"/>
  <c r="L227" i="1" s="1"/>
  <c r="J228" i="1"/>
  <c r="K228" i="1" s="1"/>
  <c r="L228" i="1" s="1" a="1"/>
  <c r="L228" i="1" s="1"/>
  <c r="J229" i="1"/>
  <c r="K229" i="1" s="1"/>
  <c r="L229" i="1" s="1" a="1"/>
  <c r="L229" i="1" s="1"/>
  <c r="J230" i="1"/>
  <c r="J231" i="1"/>
  <c r="J232" i="1"/>
  <c r="J233" i="1"/>
  <c r="J234" i="1"/>
  <c r="J235" i="1"/>
  <c r="J236" i="1"/>
  <c r="J237" i="1"/>
  <c r="J238" i="1"/>
  <c r="J239" i="1"/>
  <c r="K239" i="1" s="1"/>
  <c r="L239" i="1" s="1" a="1"/>
  <c r="L239" i="1" s="1"/>
  <c r="J240" i="1"/>
  <c r="K240" i="1" s="1"/>
  <c r="L240" i="1" s="1" a="1"/>
  <c r="L240" i="1" s="1"/>
  <c r="J241" i="1"/>
  <c r="K241" i="1" s="1"/>
  <c r="L241" i="1" s="1" a="1"/>
  <c r="L241" i="1" s="1"/>
  <c r="J242" i="1"/>
  <c r="J243" i="1"/>
  <c r="J244" i="1"/>
  <c r="J245" i="1"/>
  <c r="J246" i="1"/>
  <c r="J247" i="1"/>
  <c r="J248" i="1"/>
  <c r="J249" i="1"/>
  <c r="J250" i="1"/>
  <c r="J251" i="1"/>
  <c r="K12" i="1"/>
  <c r="L12" i="1" s="1" a="1"/>
  <c r="L12" i="1" s="1"/>
  <c r="K13" i="1"/>
  <c r="L13" i="1" s="1" a="1"/>
  <c r="L13" i="1" s="1"/>
  <c r="K95" i="1"/>
  <c r="L95" i="1" s="1" a="1"/>
  <c r="L95" i="1" s="1"/>
  <c r="K108" i="1"/>
  <c r="L108" i="1" s="1" a="1"/>
  <c r="L108" i="1" s="1"/>
  <c r="K168" i="1"/>
  <c r="L168" i="1" s="1" a="1"/>
  <c r="L168" i="1" s="1"/>
  <c r="K169" i="1"/>
  <c r="L169" i="1" s="1" a="1"/>
  <c r="L169" i="1" s="1"/>
  <c r="K251" i="1"/>
  <c r="L251" i="1" s="1" a="1"/>
  <c r="L251" i="1" s="1"/>
  <c r="K35" i="1"/>
  <c r="L35" i="1" s="1" a="1"/>
  <c r="L35" i="1" s="1"/>
  <c r="K145" i="1"/>
  <c r="L145" i="1" s="1" a="1"/>
  <c r="L145" i="1" s="1"/>
  <c r="K14" i="1"/>
  <c r="L14" i="1" s="1" a="1"/>
  <c r="L14" i="1" s="1"/>
  <c r="K26" i="1"/>
  <c r="L26" i="1" s="1" a="1"/>
  <c r="L26" i="1" s="1"/>
  <c r="K38" i="1"/>
  <c r="L38" i="1" s="1" a="1"/>
  <c r="L38" i="1" s="1"/>
  <c r="K50" i="1"/>
  <c r="L50" i="1" s="1" a="1"/>
  <c r="L50" i="1" s="1"/>
  <c r="K62" i="1"/>
  <c r="L62" i="1" s="1" a="1"/>
  <c r="L62" i="1" s="1"/>
  <c r="K74" i="1"/>
  <c r="L74" i="1" s="1" a="1"/>
  <c r="L74" i="1" s="1"/>
  <c r="K86" i="1"/>
  <c r="L86" i="1" s="1" a="1"/>
  <c r="L86" i="1" s="1"/>
  <c r="K98" i="1"/>
  <c r="L98" i="1" s="1" a="1"/>
  <c r="L98" i="1" s="1"/>
  <c r="K110" i="1"/>
  <c r="L110" i="1" s="1" a="1"/>
  <c r="L110" i="1" s="1"/>
  <c r="K122" i="1"/>
  <c r="L122" i="1" s="1" a="1"/>
  <c r="L122" i="1" s="1"/>
  <c r="K134" i="1"/>
  <c r="L134" i="1" s="1" a="1"/>
  <c r="L134" i="1" s="1"/>
  <c r="K146" i="1"/>
  <c r="L146" i="1" s="1" a="1"/>
  <c r="L146" i="1" s="1"/>
  <c r="K158" i="1"/>
  <c r="L158" i="1" s="1" a="1"/>
  <c r="L158" i="1" s="1"/>
  <c r="K170" i="1"/>
  <c r="L170" i="1" s="1" a="1"/>
  <c r="L170" i="1" s="1"/>
  <c r="K179" i="1"/>
  <c r="L179" i="1" s="1" a="1"/>
  <c r="L179" i="1" s="1"/>
  <c r="K182" i="1"/>
  <c r="L182" i="1" s="1" a="1"/>
  <c r="L182" i="1" s="1"/>
  <c r="K191" i="1"/>
  <c r="L191" i="1" s="1" a="1"/>
  <c r="L191" i="1" s="1"/>
  <c r="K194" i="1"/>
  <c r="L194" i="1" s="1" a="1"/>
  <c r="L194" i="1" s="1"/>
  <c r="K203" i="1"/>
  <c r="L203" i="1" s="1" a="1"/>
  <c r="L203" i="1" s="1"/>
  <c r="K206" i="1"/>
  <c r="L206" i="1" s="1" a="1"/>
  <c r="L206" i="1" s="1"/>
  <c r="K215" i="1"/>
  <c r="L215" i="1" s="1" a="1"/>
  <c r="L215" i="1" s="1"/>
  <c r="K218" i="1"/>
  <c r="L218" i="1" s="1" a="1"/>
  <c r="L218" i="1" s="1"/>
  <c r="K226" i="1"/>
  <c r="L226" i="1" s="1" a="1"/>
  <c r="L226" i="1" s="1"/>
  <c r="K230" i="1"/>
  <c r="L230" i="1" s="1" a="1"/>
  <c r="L230" i="1" s="1"/>
  <c r="K238" i="1"/>
  <c r="L238" i="1" s="1" a="1"/>
  <c r="L238" i="1" s="1"/>
  <c r="K242" i="1"/>
  <c r="L242" i="1" s="1" a="1"/>
  <c r="L242" i="1" s="1"/>
  <c r="K249" i="1"/>
  <c r="L249" i="1" s="1" a="1"/>
  <c r="L249" i="1" s="1"/>
  <c r="K11" i="1"/>
  <c r="L11" i="1" s="1" a="1"/>
  <c r="L11" i="1" s="1"/>
  <c r="K70" i="1"/>
  <c r="L70" i="1" s="1" a="1"/>
  <c r="L70" i="1" s="1"/>
  <c r="K128" i="1"/>
  <c r="L128" i="1" s="1" a="1"/>
  <c r="L128" i="1" s="1"/>
  <c r="K154" i="1"/>
  <c r="L154" i="1" s="1" a="1"/>
  <c r="L154" i="1" s="1"/>
  <c r="K166" i="1"/>
  <c r="L166" i="1" s="1" a="1"/>
  <c r="L166" i="1" s="1"/>
  <c r="K200" i="1"/>
  <c r="L200" i="1" s="1" a="1"/>
  <c r="L200" i="1" s="1"/>
  <c r="K202" i="1"/>
  <c r="L202" i="1" s="1" a="1"/>
  <c r="L202" i="1" s="1"/>
  <c r="K224" i="1"/>
  <c r="L224" i="1" s="1" a="1"/>
  <c r="L224" i="1" s="1"/>
  <c r="K236" i="1"/>
  <c r="L236" i="1" s="1" a="1"/>
  <c r="L236" i="1" s="1"/>
  <c r="K248" i="1"/>
  <c r="L248" i="1" s="1" a="1"/>
  <c r="L248" i="1" s="1"/>
  <c r="K22" i="1"/>
  <c r="L22" i="1" s="1" a="1"/>
  <c r="L22" i="1" s="1"/>
  <c r="K34" i="1"/>
  <c r="L34" i="1" s="1" a="1"/>
  <c r="L34" i="1" s="1"/>
  <c r="K94" i="1"/>
  <c r="L94" i="1" s="1" a="1"/>
  <c r="L94" i="1" s="1"/>
  <c r="K118" i="1"/>
  <c r="L118" i="1" s="1" a="1"/>
  <c r="L118" i="1" s="1"/>
  <c r="K132" i="1"/>
  <c r="L132" i="1" s="1" a="1"/>
  <c r="L132" i="1" s="1"/>
  <c r="K178" i="1"/>
  <c r="L178" i="1" s="1" a="1"/>
  <c r="L178" i="1" s="1"/>
  <c r="K116" i="1"/>
  <c r="L116" i="1" s="1" a="1"/>
  <c r="L116" i="1" s="1"/>
  <c r="K140" i="1"/>
  <c r="L140" i="1" s="1" a="1"/>
  <c r="L140" i="1" s="1"/>
  <c r="K96" i="1"/>
  <c r="L96" i="1" s="1" a="1"/>
  <c r="L96" i="1" s="1"/>
  <c r="K84" i="1"/>
  <c r="L84" i="1" s="1" a="1"/>
  <c r="L84" i="1" s="1"/>
  <c r="K72" i="1"/>
  <c r="L72" i="1" s="1" a="1"/>
  <c r="L72" i="1" s="1"/>
  <c r="K60" i="1"/>
  <c r="L60" i="1" s="1" a="1"/>
  <c r="L60" i="1" s="1"/>
  <c r="K48" i="1"/>
  <c r="L48" i="1" s="1" a="1"/>
  <c r="L48" i="1" s="1"/>
  <c r="K36" i="1"/>
  <c r="L36" i="1" s="1" a="1"/>
  <c r="L36" i="1" s="1"/>
  <c r="K24" i="1"/>
  <c r="L24" i="1" s="1" a="1"/>
  <c r="L24" i="1" s="1"/>
  <c r="K107" i="1"/>
  <c r="L107" i="1" s="1" a="1"/>
  <c r="L107" i="1" s="1"/>
  <c r="K8" i="1"/>
  <c r="L8" i="1" s="1" a="1"/>
  <c r="L8" i="1" s="1"/>
  <c r="K80" i="1"/>
  <c r="L80" i="1" s="1" a="1"/>
  <c r="L80" i="1" s="1"/>
  <c r="K68" i="1"/>
  <c r="L68" i="1" s="1" a="1"/>
  <c r="L68" i="1" s="1"/>
  <c r="K44" i="1"/>
  <c r="L44" i="1" s="1" a="1"/>
  <c r="L44" i="1" s="1"/>
  <c r="K32" i="1"/>
  <c r="L32" i="1" s="1" a="1"/>
  <c r="L32" i="1" s="1"/>
  <c r="K237" i="1"/>
  <c r="L237" i="1" s="1" a="1"/>
  <c r="L237" i="1" s="1"/>
  <c r="K225" i="1"/>
  <c r="L225" i="1" s="1" a="1"/>
  <c r="L225" i="1" s="1"/>
  <c r="K213" i="1"/>
  <c r="L213" i="1" s="1" a="1"/>
  <c r="L213" i="1" s="1"/>
  <c r="K201" i="1"/>
  <c r="L201" i="1" s="1" a="1"/>
  <c r="L201" i="1" s="1"/>
  <c r="K189" i="1"/>
  <c r="L189" i="1" s="1" a="1"/>
  <c r="L189" i="1" s="1"/>
  <c r="K177" i="1"/>
  <c r="L177" i="1" s="1" a="1"/>
  <c r="L177" i="1" s="1"/>
  <c r="K165" i="1"/>
  <c r="L165" i="1" s="1" a="1"/>
  <c r="L165" i="1" s="1"/>
  <c r="K153" i="1"/>
  <c r="L153" i="1" s="1" a="1"/>
  <c r="L153" i="1" s="1"/>
  <c r="K141" i="1"/>
  <c r="L141" i="1" s="1" a="1"/>
  <c r="L141" i="1" s="1"/>
  <c r="K129" i="1"/>
  <c r="L129" i="1" s="1" a="1"/>
  <c r="L129" i="1" s="1"/>
  <c r="K117" i="1"/>
  <c r="L117" i="1" s="1" a="1"/>
  <c r="L117" i="1" s="1"/>
  <c r="K105" i="1"/>
  <c r="L105" i="1" s="1" a="1"/>
  <c r="L105" i="1" s="1"/>
  <c r="K93" i="1"/>
  <c r="L93" i="1" s="1" a="1"/>
  <c r="L93" i="1" s="1"/>
  <c r="K81" i="1"/>
  <c r="L81" i="1" s="1" a="1"/>
  <c r="L81" i="1" s="1"/>
  <c r="K69" i="1"/>
  <c r="L69" i="1" s="1" a="1"/>
  <c r="L69" i="1" s="1"/>
  <c r="K57" i="1"/>
  <c r="L57" i="1" s="1" a="1"/>
  <c r="L57" i="1" s="1"/>
  <c r="K45" i="1"/>
  <c r="L45" i="1" s="1" a="1"/>
  <c r="L45" i="1" s="1"/>
  <c r="K33" i="1"/>
  <c r="L33" i="1" s="1" a="1"/>
  <c r="L33" i="1" s="1"/>
  <c r="K21" i="1"/>
  <c r="L21" i="1" s="1" a="1"/>
  <c r="L21" i="1" s="1"/>
  <c r="K9" i="1"/>
  <c r="L9" i="1" s="1" a="1"/>
  <c r="L9" i="1" s="1"/>
  <c r="K214" i="1"/>
  <c r="L214" i="1" s="1" a="1"/>
  <c r="L214" i="1" s="1"/>
  <c r="K106" i="1"/>
  <c r="L106" i="1" s="1" a="1"/>
  <c r="L106" i="1" s="1"/>
  <c r="K10" i="1"/>
  <c r="L10" i="1" s="1" a="1"/>
  <c r="L10" i="1" s="1"/>
  <c r="K104" i="1"/>
  <c r="L104" i="1" s="1" a="1"/>
  <c r="L104" i="1" s="1"/>
  <c r="K56" i="1"/>
  <c r="L56" i="1" s="1" a="1"/>
  <c r="L56" i="1" s="1"/>
  <c r="K247" i="1"/>
  <c r="L247" i="1" s="1" a="1"/>
  <c r="L247" i="1" s="1"/>
  <c r="K235" i="1"/>
  <c r="L235" i="1" s="1" a="1"/>
  <c r="L235" i="1" s="1"/>
  <c r="K223" i="1"/>
  <c r="L223" i="1" s="1" a="1"/>
  <c r="L223" i="1" s="1"/>
  <c r="K211" i="1"/>
  <c r="L211" i="1" s="1" a="1"/>
  <c r="L211" i="1" s="1"/>
  <c r="K199" i="1"/>
  <c r="L199" i="1" s="1" a="1"/>
  <c r="L199" i="1" s="1"/>
  <c r="K187" i="1"/>
  <c r="L187" i="1" s="1" a="1"/>
  <c r="L187" i="1" s="1"/>
  <c r="K175" i="1"/>
  <c r="L175" i="1" s="1" a="1"/>
  <c r="L175" i="1" s="1"/>
  <c r="K163" i="1"/>
  <c r="L163" i="1" s="1" a="1"/>
  <c r="L163" i="1" s="1"/>
  <c r="K151" i="1"/>
  <c r="L151" i="1" s="1" a="1"/>
  <c r="L151" i="1" s="1"/>
  <c r="K139" i="1"/>
  <c r="L139" i="1" s="1" a="1"/>
  <c r="L139" i="1" s="1"/>
  <c r="K127" i="1"/>
  <c r="L127" i="1" s="1" a="1"/>
  <c r="L127" i="1" s="1"/>
  <c r="K115" i="1"/>
  <c r="L115" i="1" s="1" a="1"/>
  <c r="L115" i="1" s="1"/>
  <c r="K103" i="1"/>
  <c r="L103" i="1" s="1" a="1"/>
  <c r="L103" i="1" s="1"/>
  <c r="K91" i="1"/>
  <c r="L91" i="1" s="1" a="1"/>
  <c r="L91" i="1" s="1"/>
  <c r="K79" i="1"/>
  <c r="L79" i="1" s="1" a="1"/>
  <c r="L79" i="1" s="1"/>
  <c r="K67" i="1"/>
  <c r="L67" i="1" s="1" a="1"/>
  <c r="L67" i="1" s="1"/>
  <c r="K55" i="1"/>
  <c r="L55" i="1" s="1" a="1"/>
  <c r="L55" i="1" s="1"/>
  <c r="K43" i="1"/>
  <c r="L43" i="1" s="1" a="1"/>
  <c r="L43" i="1" s="1"/>
  <c r="K31" i="1"/>
  <c r="L31" i="1" s="1" a="1"/>
  <c r="L31" i="1" s="1"/>
  <c r="K19" i="1"/>
  <c r="L19" i="1" s="1" a="1"/>
  <c r="L19" i="1" s="1"/>
  <c r="K7" i="1"/>
  <c r="L7" i="1" s="1" a="1"/>
  <c r="L7" i="1" s="1"/>
  <c r="K245" i="1"/>
  <c r="L245" i="1" s="1" a="1"/>
  <c r="L245" i="1" s="1"/>
  <c r="K250" i="1"/>
  <c r="L250" i="1" s="1" a="1"/>
  <c r="L250" i="1" s="1"/>
  <c r="K130" i="1"/>
  <c r="L130" i="1" s="1" a="1"/>
  <c r="L130" i="1" s="1"/>
  <c r="K58" i="1"/>
  <c r="L58" i="1" s="1" a="1"/>
  <c r="L58" i="1" s="1"/>
  <c r="K212" i="1"/>
  <c r="L212" i="1" s="1" a="1"/>
  <c r="L212" i="1" s="1"/>
  <c r="K92" i="1"/>
  <c r="L92" i="1" s="1" a="1"/>
  <c r="L92" i="1" s="1"/>
  <c r="K246" i="1"/>
  <c r="L246" i="1" s="1" a="1"/>
  <c r="L246" i="1" s="1"/>
  <c r="K234" i="1"/>
  <c r="L234" i="1" s="1" a="1"/>
  <c r="L234" i="1" s="1"/>
  <c r="K210" i="1"/>
  <c r="L210" i="1" s="1" a="1"/>
  <c r="L210" i="1" s="1"/>
  <c r="K198" i="1"/>
  <c r="L198" i="1" s="1" a="1"/>
  <c r="L198" i="1" s="1"/>
  <c r="K186" i="1"/>
  <c r="L186" i="1" s="1" a="1"/>
  <c r="L186" i="1" s="1"/>
  <c r="K174" i="1"/>
  <c r="L174" i="1" s="1" a="1"/>
  <c r="L174" i="1" s="1"/>
  <c r="K162" i="1"/>
  <c r="L162" i="1" s="1" a="1"/>
  <c r="L162" i="1" s="1"/>
  <c r="K150" i="1"/>
  <c r="L150" i="1" s="1" a="1"/>
  <c r="L150" i="1" s="1"/>
  <c r="K138" i="1"/>
  <c r="L138" i="1" s="1" a="1"/>
  <c r="L138" i="1" s="1"/>
  <c r="K126" i="1"/>
  <c r="L126" i="1" s="1" a="1"/>
  <c r="L126" i="1" s="1"/>
  <c r="K114" i="1"/>
  <c r="L114" i="1" s="1" a="1"/>
  <c r="L114" i="1" s="1"/>
  <c r="K102" i="1"/>
  <c r="L102" i="1" s="1" a="1"/>
  <c r="L102" i="1" s="1"/>
  <c r="K78" i="1"/>
  <c r="L78" i="1" s="1" a="1"/>
  <c r="L78" i="1" s="1"/>
  <c r="K66" i="1"/>
  <c r="L66" i="1" s="1" a="1"/>
  <c r="L66" i="1" s="1"/>
  <c r="K54" i="1"/>
  <c r="L54" i="1" s="1" a="1"/>
  <c r="L54" i="1" s="1"/>
  <c r="K30" i="1"/>
  <c r="L30" i="1" s="1" a="1"/>
  <c r="L30" i="1" s="1"/>
  <c r="K18" i="1"/>
  <c r="L18" i="1" s="1" a="1"/>
  <c r="L18" i="1" s="1"/>
  <c r="K6" i="1"/>
  <c r="L6" i="1" s="1" a="1"/>
  <c r="L6" i="1" s="1"/>
  <c r="K244" i="1"/>
  <c r="L244" i="1" s="1" a="1"/>
  <c r="L244" i="1" s="1"/>
  <c r="K232" i="1"/>
  <c r="L232" i="1" s="1" a="1"/>
  <c r="L232" i="1" s="1"/>
  <c r="K220" i="1"/>
  <c r="L220" i="1" s="1" a="1"/>
  <c r="L220" i="1" s="1"/>
  <c r="K196" i="1"/>
  <c r="L196" i="1" s="1" a="1"/>
  <c r="L196" i="1" s="1"/>
  <c r="K184" i="1"/>
  <c r="L184" i="1" s="1" a="1"/>
  <c r="L184" i="1" s="1"/>
  <c r="K172" i="1"/>
  <c r="L172" i="1" s="1" a="1"/>
  <c r="L172" i="1" s="1"/>
  <c r="K160" i="1"/>
  <c r="L160" i="1" s="1" a="1"/>
  <c r="L160" i="1" s="1"/>
  <c r="K148" i="1"/>
  <c r="L148" i="1" s="1" a="1"/>
  <c r="L148" i="1" s="1"/>
  <c r="K124" i="1"/>
  <c r="L124" i="1" s="1" a="1"/>
  <c r="L124" i="1" s="1"/>
  <c r="K112" i="1"/>
  <c r="L112" i="1" s="1" a="1"/>
  <c r="L112" i="1" s="1"/>
  <c r="K100" i="1"/>
  <c r="L100" i="1" s="1" a="1"/>
  <c r="L100" i="1" s="1"/>
  <c r="K76" i="1"/>
  <c r="L76" i="1" s="1" a="1"/>
  <c r="L76" i="1" s="1"/>
  <c r="K190" i="1"/>
  <c r="L190" i="1" s="1" a="1"/>
  <c r="L190" i="1" s="1"/>
  <c r="K82" i="1"/>
  <c r="L82" i="1" s="1" a="1"/>
  <c r="L82" i="1" s="1"/>
  <c r="K152" i="1"/>
  <c r="L152" i="1" s="1" a="1"/>
  <c r="L152" i="1" s="1"/>
  <c r="K164" i="1"/>
  <c r="L164" i="1" s="1" a="1"/>
  <c r="L164" i="1" s="1"/>
  <c r="K20" i="1"/>
  <c r="L20" i="1" s="1" a="1"/>
  <c r="L20" i="1" s="1"/>
  <c r="K90" i="1"/>
  <c r="L90" i="1" s="1" a="1"/>
  <c r="L90" i="1" s="1"/>
  <c r="K233" i="1"/>
  <c r="L233" i="1" s="1" a="1"/>
  <c r="L233" i="1" s="1"/>
  <c r="K221" i="1"/>
  <c r="L221" i="1" s="1" a="1"/>
  <c r="L221" i="1" s="1"/>
  <c r="K209" i="1"/>
  <c r="L209" i="1" s="1" a="1"/>
  <c r="L209" i="1" s="1"/>
  <c r="K197" i="1"/>
  <c r="L197" i="1" s="1" a="1"/>
  <c r="L197" i="1" s="1"/>
  <c r="K185" i="1"/>
  <c r="L185" i="1" s="1" a="1"/>
  <c r="L185" i="1" s="1"/>
  <c r="K173" i="1"/>
  <c r="L173" i="1" s="1" a="1"/>
  <c r="L173" i="1" s="1"/>
  <c r="K161" i="1"/>
  <c r="L161" i="1" s="1" a="1"/>
  <c r="L161" i="1" s="1"/>
  <c r="K149" i="1"/>
  <c r="L149" i="1" s="1" a="1"/>
  <c r="L149" i="1" s="1"/>
  <c r="K137" i="1"/>
  <c r="L137" i="1" s="1" a="1"/>
  <c r="L137" i="1" s="1"/>
  <c r="K125" i="1"/>
  <c r="L125" i="1" s="1" a="1"/>
  <c r="L125" i="1" s="1"/>
  <c r="K113" i="1"/>
  <c r="L113" i="1" s="1" a="1"/>
  <c r="L113" i="1" s="1"/>
  <c r="K101" i="1"/>
  <c r="L101" i="1" s="1" a="1"/>
  <c r="L101" i="1" s="1"/>
  <c r="K89" i="1"/>
  <c r="L89" i="1" s="1" a="1"/>
  <c r="L89" i="1" s="1"/>
  <c r="K77" i="1"/>
  <c r="L77" i="1" s="1" a="1"/>
  <c r="L77" i="1" s="1"/>
  <c r="K65" i="1"/>
  <c r="L65" i="1" s="1" a="1"/>
  <c r="L65" i="1" s="1"/>
  <c r="K53" i="1"/>
  <c r="L53" i="1" s="1" a="1"/>
  <c r="L53" i="1" s="1"/>
  <c r="K41" i="1"/>
  <c r="L41" i="1" s="1" a="1"/>
  <c r="L41" i="1" s="1"/>
  <c r="K29" i="1"/>
  <c r="L29" i="1" s="1" a="1"/>
  <c r="L29" i="1" s="1"/>
  <c r="K17" i="1"/>
  <c r="L17" i="1" s="1" a="1"/>
  <c r="L17" i="1" s="1"/>
  <c r="K5" i="1"/>
  <c r="L5" i="1" s="1" a="1"/>
  <c r="L5" i="1" s="1"/>
  <c r="K243" i="1"/>
  <c r="L243" i="1" s="1" a="1"/>
  <c r="L243" i="1" s="1"/>
  <c r="K231" i="1"/>
  <c r="L231" i="1" s="1" a="1"/>
  <c r="L231" i="1" s="1"/>
  <c r="K219" i="1"/>
  <c r="L219" i="1" s="1" a="1"/>
  <c r="L219" i="1" s="1"/>
  <c r="K207" i="1"/>
  <c r="L207" i="1" s="1" a="1"/>
  <c r="L207" i="1" s="1"/>
  <c r="K195" i="1"/>
  <c r="L195" i="1" s="1" a="1"/>
  <c r="L195" i="1" s="1"/>
  <c r="K183" i="1"/>
  <c r="L183" i="1" s="1" a="1"/>
  <c r="L183" i="1" s="1"/>
  <c r="K171" i="1"/>
  <c r="L171" i="1" s="1" a="1"/>
  <c r="L171" i="1" s="1"/>
  <c r="K159" i="1"/>
  <c r="L159" i="1" s="1" a="1"/>
  <c r="L159" i="1" s="1"/>
  <c r="K147" i="1"/>
  <c r="L147" i="1" s="1" a="1"/>
  <c r="L147" i="1" s="1"/>
  <c r="K135" i="1"/>
  <c r="L135" i="1" s="1" a="1"/>
  <c r="L135" i="1" s="1"/>
  <c r="K123" i="1"/>
  <c r="L123" i="1" s="1" a="1"/>
  <c r="L123" i="1" s="1"/>
  <c r="K111" i="1"/>
  <c r="L111" i="1" s="1" a="1"/>
  <c r="L111" i="1" s="1"/>
  <c r="K99" i="1"/>
  <c r="L99" i="1" s="1" a="1"/>
  <c r="L99" i="1" s="1"/>
  <c r="K87" i="1"/>
  <c r="L87" i="1" s="1" a="1"/>
  <c r="L87" i="1" s="1"/>
  <c r="K75" i="1"/>
  <c r="L75" i="1" s="1" a="1"/>
  <c r="L75" i="1" s="1"/>
  <c r="K63" i="1"/>
  <c r="L63" i="1" s="1" a="1"/>
  <c r="L63" i="1" s="1"/>
  <c r="K51" i="1"/>
  <c r="L51" i="1" s="1" a="1"/>
  <c r="L51" i="1" s="1"/>
  <c r="K39" i="1"/>
  <c r="L39" i="1" s="1" a="1"/>
  <c r="L39" i="1" s="1"/>
  <c r="K27" i="1"/>
  <c r="L27" i="1" s="1" a="1"/>
  <c r="L27" i="1" s="1"/>
  <c r="K15" i="1"/>
  <c r="L15" i="1" s="1" a="1"/>
  <c r="L15" i="1" s="1"/>
  <c r="K3" i="1"/>
  <c r="L3" i="1" s="1" a="1"/>
  <c r="L3" i="1" s="1"/>
  <c r="K142" i="1"/>
  <c r="L142" i="1" s="1" a="1"/>
  <c r="L142" i="1" s="1"/>
  <c r="K46" i="1"/>
  <c r="L46" i="1" s="1" a="1"/>
  <c r="L46" i="1" s="1"/>
  <c r="K188" i="1"/>
  <c r="L188" i="1" s="1" a="1"/>
  <c r="L188" i="1" s="1"/>
  <c r="K176" i="1"/>
  <c r="L176" i="1" s="1" a="1"/>
  <c r="L176" i="1" s="1"/>
  <c r="K222" i="1"/>
  <c r="L222" i="1" s="1" a="1"/>
  <c r="L222" i="1" s="1"/>
  <c r="K42" i="1"/>
  <c r="L42" i="1" s="1" a="1"/>
  <c r="L42" i="1" s="1"/>
  <c r="K208" i="1"/>
  <c r="L208" i="1" s="1" a="1"/>
  <c r="L208" i="1" s="1"/>
  <c r="K136" i="1"/>
  <c r="L136" i="1" s="1" a="1"/>
  <c r="L136" i="1" s="1"/>
  <c r="K88" i="1"/>
  <c r="L88" i="1" s="1" a="1"/>
  <c r="L88" i="1" s="1"/>
  <c r="K64" i="1"/>
  <c r="L64" i="1" s="1" a="1"/>
  <c r="L64" i="1" s="1"/>
  <c r="K52" i="1"/>
  <c r="L52" i="1" s="1" a="1"/>
  <c r="L52" i="1" s="1"/>
  <c r="K40" i="1"/>
  <c r="L40" i="1" s="1" a="1"/>
  <c r="L40" i="1" s="1"/>
  <c r="K28" i="1"/>
  <c r="L28" i="1" s="1" a="1"/>
  <c r="L28" i="1" s="1"/>
  <c r="K16" i="1"/>
  <c r="L16" i="1" s="1" a="1"/>
  <c r="L16" i="1" s="1"/>
  <c r="K4" i="1"/>
  <c r="L4" i="1" s="1" a="1"/>
  <c r="L4" i="1" s="1"/>
  <c r="K2" i="1"/>
  <c r="L2" i="1" s="1" a="1"/>
  <c r="L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<sst xmlns="http://schemas.openxmlformats.org/spreadsheetml/2006/main" count="762" uniqueCount="264">
  <si>
    <t>id</t>
  </si>
  <si>
    <t>Name</t>
  </si>
  <si>
    <t>Gender</t>
  </si>
  <si>
    <t>Age</t>
  </si>
  <si>
    <t>Section</t>
  </si>
  <si>
    <t>Science</t>
  </si>
  <si>
    <t>English</t>
  </si>
  <si>
    <t>History</t>
  </si>
  <si>
    <t>Maths</t>
  </si>
  <si>
    <t>Bronnie</t>
  </si>
  <si>
    <t>Female</t>
  </si>
  <si>
    <t>C</t>
  </si>
  <si>
    <t>Lemmie</t>
  </si>
  <si>
    <t>Male</t>
  </si>
  <si>
    <t>B</t>
  </si>
  <si>
    <t>Danya</t>
  </si>
  <si>
    <t>Denna</t>
  </si>
  <si>
    <t>Jocelin</t>
  </si>
  <si>
    <t>A</t>
  </si>
  <si>
    <t>Malissa</t>
  </si>
  <si>
    <t>Ichabod</t>
  </si>
  <si>
    <t>Beverlie</t>
  </si>
  <si>
    <t>Corrine</t>
  </si>
  <si>
    <t>Tate</t>
  </si>
  <si>
    <t>Dunn</t>
  </si>
  <si>
    <t>Valaria</t>
  </si>
  <si>
    <t>Merrick</t>
  </si>
  <si>
    <t>Gracie</t>
  </si>
  <si>
    <t>Missy</t>
  </si>
  <si>
    <t>Gilberta</t>
  </si>
  <si>
    <t>Peggy</t>
  </si>
  <si>
    <t>Dory</t>
  </si>
  <si>
    <t>Opalina</t>
  </si>
  <si>
    <t>Ashlan</t>
  </si>
  <si>
    <t>Amery</t>
  </si>
  <si>
    <t>Benoite</t>
  </si>
  <si>
    <t>Merle</t>
  </si>
  <si>
    <t>Valma</t>
  </si>
  <si>
    <t>Jone</t>
  </si>
  <si>
    <t>Rae</t>
  </si>
  <si>
    <t>Charmine</t>
  </si>
  <si>
    <t>Hanan</t>
  </si>
  <si>
    <t>Adrian</t>
  </si>
  <si>
    <t>Livia</t>
  </si>
  <si>
    <t>Richie</t>
  </si>
  <si>
    <t>Ekaterina</t>
  </si>
  <si>
    <t>Tamra</t>
  </si>
  <si>
    <t>Zarla</t>
  </si>
  <si>
    <t>Tommy</t>
  </si>
  <si>
    <t>Anna-diane</t>
  </si>
  <si>
    <t>Josh</t>
  </si>
  <si>
    <t>Claudina</t>
  </si>
  <si>
    <t>Adah</t>
  </si>
  <si>
    <t>Luelle</t>
  </si>
  <si>
    <t>Johannes</t>
  </si>
  <si>
    <t>Hetty</t>
  </si>
  <si>
    <t>Brandie</t>
  </si>
  <si>
    <t>Arvie</t>
  </si>
  <si>
    <t>Jacenta</t>
  </si>
  <si>
    <t>Teddy</t>
  </si>
  <si>
    <t>Everett</t>
  </si>
  <si>
    <t>Lyda</t>
  </si>
  <si>
    <t>Vinny</t>
  </si>
  <si>
    <t>Karrie</t>
  </si>
  <si>
    <t>Skipp</t>
  </si>
  <si>
    <t>Rollie</t>
  </si>
  <si>
    <t>Ruben</t>
  </si>
  <si>
    <t>Tabbie</t>
  </si>
  <si>
    <t>Lief</t>
  </si>
  <si>
    <t>Olenka</t>
  </si>
  <si>
    <t>Hinze</t>
  </si>
  <si>
    <t>Issie</t>
  </si>
  <si>
    <t>Yardley</t>
  </si>
  <si>
    <t>Winslow</t>
  </si>
  <si>
    <t>Bobbee</t>
  </si>
  <si>
    <t>Fanny</t>
  </si>
  <si>
    <t>Massimiliano</t>
  </si>
  <si>
    <t>Shannon</t>
  </si>
  <si>
    <t>Mufi</t>
  </si>
  <si>
    <t>Christan</t>
  </si>
  <si>
    <t>Orrin</t>
  </si>
  <si>
    <t>Drusi</t>
  </si>
  <si>
    <t>Nil</t>
  </si>
  <si>
    <t>Jessamine</t>
  </si>
  <si>
    <t>Bil</t>
  </si>
  <si>
    <t>Jaymie</t>
  </si>
  <si>
    <t>Lorrie</t>
  </si>
  <si>
    <t>Bethena</t>
  </si>
  <si>
    <t>Sascha</t>
  </si>
  <si>
    <t>Cherie</t>
  </si>
  <si>
    <t>David</t>
  </si>
  <si>
    <t>Jody</t>
  </si>
  <si>
    <t>Rosalynd</t>
  </si>
  <si>
    <t>Elton</t>
  </si>
  <si>
    <t>Teresita</t>
  </si>
  <si>
    <t>Dannel</t>
  </si>
  <si>
    <t>Amabel</t>
  </si>
  <si>
    <t>Eugine</t>
  </si>
  <si>
    <t>Brien</t>
  </si>
  <si>
    <t>Agace</t>
  </si>
  <si>
    <t>Aubrey</t>
  </si>
  <si>
    <t>Sheffie</t>
  </si>
  <si>
    <t>Ranee</t>
  </si>
  <si>
    <t>Cobby</t>
  </si>
  <si>
    <t>Linn</t>
  </si>
  <si>
    <t>Daffi</t>
  </si>
  <si>
    <t>Morganne</t>
  </si>
  <si>
    <t>Dael</t>
  </si>
  <si>
    <t>Ario</t>
  </si>
  <si>
    <t>Georgia</t>
  </si>
  <si>
    <t>Adolphus</t>
  </si>
  <si>
    <t>Silvia</t>
  </si>
  <si>
    <t>Brendin</t>
  </si>
  <si>
    <t>Loella</t>
  </si>
  <si>
    <t>Hildegaard</t>
  </si>
  <si>
    <t>Alvin</t>
  </si>
  <si>
    <t>Christoph</t>
  </si>
  <si>
    <t>Woodie</t>
  </si>
  <si>
    <t>Jeannie</t>
  </si>
  <si>
    <t>Jocelyne</t>
  </si>
  <si>
    <t>Rina</t>
  </si>
  <si>
    <t>Virgie</t>
  </si>
  <si>
    <t>Vaughn</t>
  </si>
  <si>
    <t>Cherry</t>
  </si>
  <si>
    <t>Abel</t>
  </si>
  <si>
    <t>Matt</t>
  </si>
  <si>
    <t>Josefa</t>
  </si>
  <si>
    <t>Coretta</t>
  </si>
  <si>
    <t>Chris</t>
  </si>
  <si>
    <t>Shanie</t>
  </si>
  <si>
    <t>Kath</t>
  </si>
  <si>
    <t>Bent</t>
  </si>
  <si>
    <t>Aretha</t>
  </si>
  <si>
    <t>Alyse</t>
  </si>
  <si>
    <t>Patrizia</t>
  </si>
  <si>
    <t>Gloria</t>
  </si>
  <si>
    <t>Brandise</t>
  </si>
  <si>
    <t>Orin</t>
  </si>
  <si>
    <t>Fredric</t>
  </si>
  <si>
    <t>Pat</t>
  </si>
  <si>
    <t>Bennie</t>
  </si>
  <si>
    <t>Starlin</t>
  </si>
  <si>
    <t>Susy</t>
  </si>
  <si>
    <t>Eadmund</t>
  </si>
  <si>
    <t>Blisse</t>
  </si>
  <si>
    <t>Tymothy</t>
  </si>
  <si>
    <t>Lindsay</t>
  </si>
  <si>
    <t>Jehanna</t>
  </si>
  <si>
    <t>Humfrid</t>
  </si>
  <si>
    <t>Hector</t>
  </si>
  <si>
    <t>Ailene</t>
  </si>
  <si>
    <t>Berget</t>
  </si>
  <si>
    <t>Bevan</t>
  </si>
  <si>
    <t>Ricky</t>
  </si>
  <si>
    <t>Isidora</t>
  </si>
  <si>
    <t>Emmanuel</t>
  </si>
  <si>
    <t>Cristian</t>
  </si>
  <si>
    <t>Guido</t>
  </si>
  <si>
    <t>Alis</t>
  </si>
  <si>
    <t>Jaquenette</t>
  </si>
  <si>
    <t>Danni</t>
  </si>
  <si>
    <t>Adrianne</t>
  </si>
  <si>
    <t>Inger</t>
  </si>
  <si>
    <t>Herold</t>
  </si>
  <si>
    <t>Candide</t>
  </si>
  <si>
    <t>Susi</t>
  </si>
  <si>
    <t>Milo</t>
  </si>
  <si>
    <t>Emlyn</t>
  </si>
  <si>
    <t>Sarah</t>
  </si>
  <si>
    <t>Paten</t>
  </si>
  <si>
    <t>Aldin</t>
  </si>
  <si>
    <t>Reagan</t>
  </si>
  <si>
    <t>Patty</t>
  </si>
  <si>
    <t>Barde</t>
  </si>
  <si>
    <t>Pepi</t>
  </si>
  <si>
    <t>Page</t>
  </si>
  <si>
    <t>Alard</t>
  </si>
  <si>
    <t>Fidelia</t>
  </si>
  <si>
    <t>Hali</t>
  </si>
  <si>
    <t>Keeley</t>
  </si>
  <si>
    <t>Ilaire</t>
  </si>
  <si>
    <t>Ermina</t>
  </si>
  <si>
    <t>Fran</t>
  </si>
  <si>
    <t>Desmund</t>
  </si>
  <si>
    <t>Rosamond</t>
  </si>
  <si>
    <t>Margaux</t>
  </si>
  <si>
    <t>Shalom</t>
  </si>
  <si>
    <t>Ivan</t>
  </si>
  <si>
    <t>Guntar</t>
  </si>
  <si>
    <t>Moselle</t>
  </si>
  <si>
    <t>Val</t>
  </si>
  <si>
    <t>Amber</t>
  </si>
  <si>
    <t>Davidde</t>
  </si>
  <si>
    <t>Richard</t>
  </si>
  <si>
    <t>Sebastian</t>
  </si>
  <si>
    <t>Billie</t>
  </si>
  <si>
    <t>Purcell</t>
  </si>
  <si>
    <t>Alaine</t>
  </si>
  <si>
    <t>Goldarina</t>
  </si>
  <si>
    <t>Ruperto</t>
  </si>
  <si>
    <t>Oberon</t>
  </si>
  <si>
    <t>Ezekiel</t>
  </si>
  <si>
    <t>Estel</t>
  </si>
  <si>
    <t>Jayme</t>
  </si>
  <si>
    <t>Hebert</t>
  </si>
  <si>
    <t>Olivia</t>
  </si>
  <si>
    <t>Darya</t>
  </si>
  <si>
    <t>Nita</t>
  </si>
  <si>
    <t>Elbertina</t>
  </si>
  <si>
    <t>Carol</t>
  </si>
  <si>
    <t>Codi</t>
  </si>
  <si>
    <t>Ruddie</t>
  </si>
  <si>
    <t>Baudoin</t>
  </si>
  <si>
    <t>Norri</t>
  </si>
  <si>
    <t>Nealon</t>
  </si>
  <si>
    <t>Willem</t>
  </si>
  <si>
    <t>Rosalyn</t>
  </si>
  <si>
    <t>Fannie</t>
  </si>
  <si>
    <t>Davis</t>
  </si>
  <si>
    <t>Zenia</t>
  </si>
  <si>
    <t>Alasteir</t>
  </si>
  <si>
    <t>Vivyan</t>
  </si>
  <si>
    <t>Reg</t>
  </si>
  <si>
    <t>Evangelin</t>
  </si>
  <si>
    <t>Tucky</t>
  </si>
  <si>
    <t>Betteann</t>
  </si>
  <si>
    <t>Elyn</t>
  </si>
  <si>
    <t>Kirk</t>
  </si>
  <si>
    <t>Zack</t>
  </si>
  <si>
    <t>Buffy</t>
  </si>
  <si>
    <t>Tammy</t>
  </si>
  <si>
    <t>Ericka</t>
  </si>
  <si>
    <t>Natty</t>
  </si>
  <si>
    <t>Leda</t>
  </si>
  <si>
    <t>Tabbi</t>
  </si>
  <si>
    <t>Romonda</t>
  </si>
  <si>
    <t>Blake</t>
  </si>
  <si>
    <t>Josepha</t>
  </si>
  <si>
    <t>Maureene</t>
  </si>
  <si>
    <t>Ginnifer</t>
  </si>
  <si>
    <t>Kent</t>
  </si>
  <si>
    <t>Stillman</t>
  </si>
  <si>
    <t>Maude</t>
  </si>
  <si>
    <t>Alysa</t>
  </si>
  <si>
    <t>Mortimer</t>
  </si>
  <si>
    <t>Fleming</t>
  </si>
  <si>
    <t>Nadia</t>
  </si>
  <si>
    <t>Britt</t>
  </si>
  <si>
    <t>Lazar</t>
  </si>
  <si>
    <t>Ashlin</t>
  </si>
  <si>
    <t>Raimund</t>
  </si>
  <si>
    <t>Claudell</t>
  </si>
  <si>
    <t>Janey</t>
  </si>
  <si>
    <t>Morrie</t>
  </si>
  <si>
    <t>Domingo</t>
  </si>
  <si>
    <t>Jesselyn</t>
  </si>
  <si>
    <t>Nickie</t>
  </si>
  <si>
    <t>Rog</t>
  </si>
  <si>
    <t>Kaia</t>
  </si>
  <si>
    <t>Anni</t>
  </si>
  <si>
    <t>Fernande</t>
  </si>
  <si>
    <t>Percentage</t>
  </si>
  <si>
    <t>GPA Points</t>
  </si>
  <si>
    <t>Grades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</si>
</sst>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2.xml"/><Relationship Id="rId7" Type="http://schemas.openxmlformats.org/officeDocument/2006/relationships/styles" Target="style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4.xml"/><Relationship Id="rId10" Type="http://schemas.openxmlformats.org/officeDocument/2006/relationships/calcChain" Target="calcChain.xml"/><Relationship Id="rId4" Type="http://schemas.microsoft.com/office/2007/relationships/slicerCache" Target="slicerCaches/slicerCache3.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13</xdr:col>
      <xdr:colOff>243840</xdr:colOff>
      <xdr:row>5</xdr:row>
      <xdr:rowOff>106681</xdr:rowOff>
    </xdr:from>
    <xdr:to>
      <xdr:col>16</xdr:col>
      <xdr:colOff>320040</xdr:colOff>
      <xdr:row>14</xdr:row>
      <xdr:rowOff>45720</xdr:rowOff>
    </xdr:to>
    <mc:AlternateContent xmlns:mc="http://schemas.openxmlformats.org/markup-compatibility/2006" xmlns:sle15="http://schemas.microsoft.com/office/drawing/2012/slicer">
      <mc:Choice Requires="sle15">
        <xdr:graphicFrame macro="">
          <xdr:nvGraphicFramePr>
            <xdr:cNvPr id="2" name="Name">
              <a:extLst>
                <a:ext uri="{FF2B5EF4-FFF2-40B4-BE49-F238E27FC236}">
                  <a16:creationId xmlns:a16="http://schemas.microsoft.com/office/drawing/2014/main" id="{3C09039D-BC6C-B26E-0525-4E0C1ABB6F46}"/>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8801100" y="1021081"/>
              <a:ext cx="1905000" cy="15849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320040</xdr:colOff>
      <xdr:row>0</xdr:row>
      <xdr:rowOff>0</xdr:rowOff>
    </xdr:from>
    <xdr:to>
      <xdr:col>19</xdr:col>
      <xdr:colOff>403860</xdr:colOff>
      <xdr:row>5</xdr:row>
      <xdr:rowOff>129540</xdr:rowOff>
    </xdr:to>
    <mc:AlternateContent xmlns:mc="http://schemas.openxmlformats.org/markup-compatibility/2006" xmlns:sle15="http://schemas.microsoft.com/office/drawing/2012/slicer">
      <mc:Choice Requires="sle15">
        <xdr:graphicFrame macro="">
          <xdr:nvGraphicFramePr>
            <xdr:cNvPr id="3" name="Gender">
              <a:extLst>
                <a:ext uri="{FF2B5EF4-FFF2-40B4-BE49-F238E27FC236}">
                  <a16:creationId xmlns:a16="http://schemas.microsoft.com/office/drawing/2014/main" id="{0C5193D9-7B97-757B-0778-016222C65A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06100" y="0"/>
              <a:ext cx="1912620" cy="10439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243840</xdr:colOff>
      <xdr:row>0</xdr:row>
      <xdr:rowOff>0</xdr:rowOff>
    </xdr:from>
    <xdr:to>
      <xdr:col>16</xdr:col>
      <xdr:colOff>327660</xdr:colOff>
      <xdr:row>5</xdr:row>
      <xdr:rowOff>121920</xdr:rowOff>
    </xdr:to>
    <mc:AlternateContent xmlns:mc="http://schemas.openxmlformats.org/markup-compatibility/2006" xmlns:sle15="http://schemas.microsoft.com/office/drawing/2012/slicer">
      <mc:Choice Requires="sle15">
        <xdr:graphicFrame macro="">
          <xdr:nvGraphicFramePr>
            <xdr:cNvPr id="4" name="Section">
              <a:extLst>
                <a:ext uri="{FF2B5EF4-FFF2-40B4-BE49-F238E27FC236}">
                  <a16:creationId xmlns:a16="http://schemas.microsoft.com/office/drawing/2014/main" id="{D2DDCA4D-5121-88E3-5160-B4AF8E11D049}"/>
                </a:ext>
              </a:extLst>
            </xdr:cNvPr>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8801100" y="0"/>
              <a:ext cx="1912620" cy="10363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320040</xdr:colOff>
      <xdr:row>5</xdr:row>
      <xdr:rowOff>129539</xdr:rowOff>
    </xdr:from>
    <xdr:to>
      <xdr:col>19</xdr:col>
      <xdr:colOff>411480</xdr:colOff>
      <xdr:row>14</xdr:row>
      <xdr:rowOff>45720</xdr:rowOff>
    </xdr:to>
    <mc:AlternateContent xmlns:mc="http://schemas.openxmlformats.org/markup-compatibility/2006" xmlns:sle15="http://schemas.microsoft.com/office/drawing/2012/slicer">
      <mc:Choice Requires="sle15">
        <xdr:graphicFrame macro="">
          <xdr:nvGraphicFramePr>
            <xdr:cNvPr id="11" name="Grades">
              <a:extLst>
                <a:ext uri="{FF2B5EF4-FFF2-40B4-BE49-F238E27FC236}">
                  <a16:creationId xmlns:a16="http://schemas.microsoft.com/office/drawing/2014/main" id="{44575CA2-A2AF-D1D7-435A-ABCFEF052C2B}"/>
                </a:ext>
              </a:extLst>
            </xdr:cNvPr>
            <xdr:cNvGraphicFramePr/>
          </xdr:nvGraphicFramePr>
          <xdr:xfrm>
            <a:off x="0" y="0"/>
            <a:ext cx="0" cy="0"/>
          </xdr:xfrm>
          <a:graphic>
            <a:graphicData uri="http://schemas.microsoft.com/office/drawing/2010/slicer">
              <sle:slicer xmlns:sle="http://schemas.microsoft.com/office/drawing/2010/slicer" name="Grades"/>
            </a:graphicData>
          </a:graphic>
        </xdr:graphicFrame>
      </mc:Choice>
      <mc:Fallback xmlns="">
        <xdr:sp macro="" textlink="">
          <xdr:nvSpPr>
            <xdr:cNvPr id="0" name=""/>
            <xdr:cNvSpPr>
              <a:spLocks noTextEdit="1"/>
            </xdr:cNvSpPr>
          </xdr:nvSpPr>
          <xdr:spPr>
            <a:xfrm>
              <a:off x="10706100" y="1043939"/>
              <a:ext cx="1920240" cy="156210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66035C37-7403-4443-8C47-4E9859617271}" sourceName="Nam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DAD7D3-614B-4F58-B250-1468C3534321}" sourceName="Gende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B4132CC6-9427-47FE-9BAD-581D8D523A02}" sourceName="Section">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s" xr10:uid="{459EA16B-F5BF-4F0D-9637-464381B78D94}" sourceName="Grades">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EFEB7607-76C3-479A-8D3B-68831125062E}" cache="Slicer_Name" caption="Name" rowHeight="234950"/>
  <slicer name="Gender" xr10:uid="{C4205D3C-87C7-4263-88D8-E8E6F82A73B4}" cache="Slicer_Gender" caption="Gender" rowHeight="234950"/>
  <slicer name="Section" xr10:uid="{2E6A2947-E485-4A10-9FD5-8DC9CCEF0F35}" cache="Slicer_Section" caption="Section" rowHeight="234950"/>
  <slicer name="Grades" xr10:uid="{072A55CF-16C2-4405-AE9F-C6B28679A5BF}" cache="Slicer_Grades" caption="Grad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9D78D-E683-42B5-AB19-97BEC98FE722}" name="Table1" displayName="Table1" ref="A1:L251" totalsRowShown="0">
  <autoFilter ref="A1:L251" xr:uid="{F3A9D78D-E683-42B5-AB19-97BEC98FE722}"/>
  <tableColumns count="12">
    <tableColumn id="1" xr3:uid="{C91B1410-A1FE-4A98-867C-46C05D8C937C}" name="id"/>
    <tableColumn id="2" xr3:uid="{7AC37252-D382-4BE6-8F84-49531C051A60}" name="Name"/>
    <tableColumn id="3" xr3:uid="{799CC734-C08F-412C-8F22-FE9478176569}" name="Gender"/>
    <tableColumn id="4" xr3:uid="{649BFCF3-90F2-4B20-A6FB-32270C38F498}" name="Age"/>
    <tableColumn id="5" xr3:uid="{6F6240AA-06B3-44AA-815F-E16E73FEA13D}" name="Section"/>
    <tableColumn id="6" xr3:uid="{2F9E5C02-23AE-493D-A7D2-7A8B5C5898B1}" name="Science"/>
    <tableColumn id="7" xr3:uid="{19BF731B-D5C5-4F63-933C-ED00B9A30312}" name="English"/>
    <tableColumn id="8" xr3:uid="{0BFEBB1A-918B-4C85-B983-DA1C5D7F5E3C}" name="History"/>
    <tableColumn id="9" xr3:uid="{37E8F30B-65C9-4EE0-86F8-C6D9D05BC53D}" name="Maths"/>
    <tableColumn id="10" xr3:uid="{63BDF1E6-AE45-46A2-A4EE-9D8D2713AB06}" name="Percentage" dataDxfId="2">
      <calculatedColumnFormula>SUM(F1:I2)/400*100</calculatedColumnFormula>
    </tableColumn>
    <tableColumn id="11" xr3:uid="{805751CF-2D58-4D30-9887-A199234FAD50}" name="GPA Points" dataDxfId="1">
      <calculatedColumnFormula>Table1[[#This Row],[Percentage]]/100*4</calculatedColumnFormula>
    </tableColumn>
    <tableColumn id="12" xr3:uid="{47F34927-A809-4BD7-9EC3-EEDA80FAF3D9}" name="Grades" dataDxfId="0">
      <calculatedColumnFormula array="1">_xlfn.IFS(K2&gt;3.7,"A+",K2&gt;3.3,"A-",K2&gt;=2.8,"B+",K2&gt;2.3,"B-",K2&gt;=2,"C+",K2&gt;1.3,"C-",K2&gt;=1,"D+",K2&lt;=1,"F")</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B6C72-BF7F-499D-BE0A-C0D30648005E}">
  <sheetPr>
    <tabColor theme="4"/>
  </sheetPr>
  <dimension ref="A1:L251"/>
  <sheetViews>
    <sheetView tabSelected="1" workbookViewId="0">
      <selection activeCell="W107" sqref="W107"/>
    </sheetView>
  </sheetViews>
  <sheetFormatPr defaultRowHeight="14.4" x14ac:dyDescent="0.3"/>
  <cols>
    <col min="2" max="2" width="11.6640625" bestFit="1" customWidth="1"/>
    <col min="3" max="3" width="9.33203125" bestFit="1" customWidth="1"/>
    <col min="4" max="4" width="6.44140625" bestFit="1" customWidth="1"/>
    <col min="5" max="5" width="9.109375" customWidth="1"/>
    <col min="6" max="6" width="9.5546875" bestFit="1" customWidth="1"/>
    <col min="7" max="8" width="9.109375" bestFit="1" customWidth="1"/>
    <col min="9" max="9" width="8.5546875" bestFit="1" customWidth="1"/>
    <col min="10" max="10" width="12.6640625" bestFit="1" customWidth="1"/>
    <col min="11" max="11" width="12.44140625" bestFit="1" customWidth="1"/>
    <col min="12" max="12" width="9" bestFit="1" customWidth="1"/>
  </cols>
  <sheetData>
    <row r="1" spans="1:12" x14ac:dyDescent="0.3">
      <c r="A1" t="s">
        <v>0</v>
      </c>
      <c r="B1" t="s">
        <v>1</v>
      </c>
      <c r="C1" t="s">
        <v>2</v>
      </c>
      <c r="D1" t="s">
        <v>3</v>
      </c>
      <c r="E1" t="s">
        <v>4</v>
      </c>
      <c r="F1" t="s">
        <v>5</v>
      </c>
      <c r="G1" t="s">
        <v>6</v>
      </c>
      <c r="H1" t="s">
        <v>7</v>
      </c>
      <c r="I1" t="s">
        <v>8</v>
      </c>
      <c r="J1" t="s">
        <v>261</v>
      </c>
      <c r="K1" t="s">
        <v>262</v>
      </c>
      <c r="L1" t="s">
        <v>263</v>
      </c>
    </row>
    <row r="2" spans="1:12" x14ac:dyDescent="0.3">
      <c r="A2">
        <v>1</v>
      </c>
      <c r="B2" t="s">
        <v>9</v>
      </c>
      <c r="C2" t="s">
        <v>10</v>
      </c>
      <c r="D2">
        <v>13</v>
      </c>
      <c r="E2" t="s">
        <v>11</v>
      </c>
      <c r="F2">
        <v>21</v>
      </c>
      <c r="G2">
        <v>81</v>
      </c>
      <c r="H2">
        <v>62</v>
      </c>
      <c r="I2">
        <v>49</v>
      </c>
      <c r="J2">
        <f t="shared" ref="J2:J65" si="0">SUM(F1:I2)/400*100</f>
        <v>53.25</v>
      </c>
      <c r="K2">
        <f>Table1[[#This Row],[Percentage]]/100*4</f>
        <v>2.13</v>
      </c>
      <c r="L2" t="str" cm="1">
        <f t="array" ref="L2">_xlfn.IFS(K2&gt;3.7,"A+",K2&gt;3.3,"A-",K2&gt;=2.8,"B+",K2&gt;2.3,"B-",K2&gt;=2,"C+",K2&gt;1.3,"C-",K2&gt;=1,"D+",K2&lt;=1,"F")</f>
        <v>C+</v>
      </c>
    </row>
    <row r="3" spans="1:12" x14ac:dyDescent="0.3">
      <c r="A3">
        <v>2</v>
      </c>
      <c r="B3" t="s">
        <v>12</v>
      </c>
      <c r="C3" t="s">
        <v>13</v>
      </c>
      <c r="D3">
        <v>15</v>
      </c>
      <c r="E3" t="s">
        <v>14</v>
      </c>
      <c r="F3">
        <v>29</v>
      </c>
      <c r="G3">
        <v>41</v>
      </c>
      <c r="H3">
        <v>17</v>
      </c>
      <c r="I3">
        <v>40</v>
      </c>
      <c r="J3">
        <f t="shared" si="0"/>
        <v>85</v>
      </c>
      <c r="K3">
        <f>Table1[[#This Row],[Percentage]]/100*4</f>
        <v>3.4</v>
      </c>
      <c r="L3" t="str" cm="1">
        <f t="array" ref="L3">_xlfn.IFS(K3&gt;3.7,"A+",K3&gt;3.3,"A-",K3&gt;=2.8,"B+",K3&gt;2.3,"B-",K3&gt;=2,"C+",K3&gt;1.3,"C-",K3&gt;=1,"D+",K3&lt;=1,"F")</f>
        <v>A-</v>
      </c>
    </row>
    <row r="4" spans="1:12" x14ac:dyDescent="0.3">
      <c r="A4">
        <v>3</v>
      </c>
      <c r="B4" t="s">
        <v>15</v>
      </c>
      <c r="C4" t="s">
        <v>10</v>
      </c>
      <c r="D4">
        <v>14</v>
      </c>
      <c r="E4" t="s">
        <v>11</v>
      </c>
      <c r="F4">
        <v>12</v>
      </c>
      <c r="G4">
        <v>87</v>
      </c>
      <c r="H4">
        <v>16</v>
      </c>
      <c r="I4">
        <v>96</v>
      </c>
      <c r="J4">
        <f t="shared" si="0"/>
        <v>84.5</v>
      </c>
      <c r="K4">
        <f>Table1[[#This Row],[Percentage]]/100*4</f>
        <v>3.38</v>
      </c>
      <c r="L4" t="str" cm="1">
        <f t="array" ref="L4">_xlfn.IFS(K4&gt;3.7,"A+",K4&gt;3.3,"A-",K4&gt;=2.8,"B+",K4&gt;2.3,"B-",K4&gt;=2,"C+",K4&gt;1.3,"C-",K4&gt;=1,"D+",K4&lt;=1,"F")</f>
        <v>A-</v>
      </c>
    </row>
    <row r="5" spans="1:12" x14ac:dyDescent="0.3">
      <c r="A5">
        <v>4</v>
      </c>
      <c r="B5" t="s">
        <v>16</v>
      </c>
      <c r="C5" t="s">
        <v>10</v>
      </c>
      <c r="D5">
        <v>14</v>
      </c>
      <c r="E5" t="s">
        <v>14</v>
      </c>
      <c r="F5">
        <v>15</v>
      </c>
      <c r="G5">
        <v>53</v>
      </c>
      <c r="H5">
        <v>82</v>
      </c>
      <c r="I5">
        <v>33</v>
      </c>
      <c r="J5">
        <f t="shared" si="0"/>
        <v>98.5</v>
      </c>
      <c r="K5">
        <f>Table1[[#This Row],[Percentage]]/100*4</f>
        <v>3.94</v>
      </c>
      <c r="L5" t="str" cm="1">
        <f t="array" ref="L5">_xlfn.IFS(K5&gt;3.7,"A+",K5&gt;3.3,"A-",K5&gt;=2.8,"B+",K5&gt;2.3,"B-",K5&gt;=2,"C+",K5&gt;1.3,"C-",K5&gt;=1,"D+",K5&lt;=1,"F")</f>
        <v>A+</v>
      </c>
    </row>
    <row r="6" spans="1:12" x14ac:dyDescent="0.3">
      <c r="A6">
        <v>5</v>
      </c>
      <c r="B6" t="s">
        <v>17</v>
      </c>
      <c r="C6" t="s">
        <v>13</v>
      </c>
      <c r="D6">
        <v>14</v>
      </c>
      <c r="E6" t="s">
        <v>18</v>
      </c>
      <c r="F6">
        <v>43</v>
      </c>
      <c r="G6">
        <v>6</v>
      </c>
      <c r="H6">
        <v>3</v>
      </c>
      <c r="I6">
        <v>21</v>
      </c>
      <c r="J6">
        <f t="shared" si="0"/>
        <v>64</v>
      </c>
      <c r="K6">
        <f>Table1[[#This Row],[Percentage]]/100*4</f>
        <v>2.56</v>
      </c>
      <c r="L6" t="str" cm="1">
        <f t="array" ref="L6">_xlfn.IFS(K6&gt;3.7,"A+",K6&gt;3.3,"A-",K6&gt;=2.8,"B+",K6&gt;2.3,"B-",K6&gt;=2,"C+",K6&gt;1.3,"C-",K6&gt;=1,"D+",K6&lt;=1,"F")</f>
        <v>B-</v>
      </c>
    </row>
    <row r="7" spans="1:12" x14ac:dyDescent="0.3">
      <c r="A7">
        <v>6</v>
      </c>
      <c r="B7" t="s">
        <v>19</v>
      </c>
      <c r="C7" t="s">
        <v>10</v>
      </c>
      <c r="D7">
        <v>14</v>
      </c>
      <c r="E7" t="s">
        <v>11</v>
      </c>
      <c r="F7">
        <v>98</v>
      </c>
      <c r="G7">
        <v>51</v>
      </c>
      <c r="H7">
        <v>85</v>
      </c>
      <c r="I7">
        <v>76</v>
      </c>
      <c r="J7">
        <f t="shared" si="0"/>
        <v>95.75</v>
      </c>
      <c r="K7">
        <f>Table1[[#This Row],[Percentage]]/100*4</f>
        <v>3.83</v>
      </c>
      <c r="L7" t="str" cm="1">
        <f t="array" ref="L7">_xlfn.IFS(K7&gt;3.7,"A+",K7&gt;3.3,"A-",K7&gt;=2.8,"B+",K7&gt;2.3,"B-",K7&gt;=2,"C+",K7&gt;1.3,"C-",K7&gt;=1,"D+",K7&lt;=1,"F")</f>
        <v>A+</v>
      </c>
    </row>
    <row r="8" spans="1:12" x14ac:dyDescent="0.3">
      <c r="A8">
        <v>7</v>
      </c>
      <c r="B8" t="s">
        <v>20</v>
      </c>
      <c r="C8" t="s">
        <v>10</v>
      </c>
      <c r="D8">
        <v>14</v>
      </c>
      <c r="E8" t="s">
        <v>14</v>
      </c>
      <c r="F8">
        <v>38</v>
      </c>
      <c r="G8">
        <v>74</v>
      </c>
      <c r="H8">
        <v>54</v>
      </c>
      <c r="I8">
        <v>60</v>
      </c>
      <c r="J8">
        <f t="shared" si="0"/>
        <v>134</v>
      </c>
      <c r="K8">
        <f>Table1[[#This Row],[Percentage]]/100*4</f>
        <v>5.36</v>
      </c>
      <c r="L8" t="str" cm="1">
        <f t="array" ref="L8">_xlfn.IFS(K8&gt;3.7,"A+",K8&gt;3.3,"A-",K8&gt;=2.8,"B+",K8&gt;2.3,"B-",K8&gt;=2,"C+",K8&gt;1.3,"C-",K8&gt;=1,"D+",K8&lt;=1,"F")</f>
        <v>A+</v>
      </c>
    </row>
    <row r="9" spans="1:12" x14ac:dyDescent="0.3">
      <c r="A9">
        <v>8</v>
      </c>
      <c r="B9" t="s">
        <v>21</v>
      </c>
      <c r="C9" t="s">
        <v>13</v>
      </c>
      <c r="D9">
        <v>14</v>
      </c>
      <c r="E9" t="s">
        <v>14</v>
      </c>
      <c r="F9">
        <v>25</v>
      </c>
      <c r="G9">
        <v>51</v>
      </c>
      <c r="H9">
        <v>41</v>
      </c>
      <c r="I9">
        <v>80</v>
      </c>
      <c r="J9">
        <f t="shared" si="0"/>
        <v>105.75000000000001</v>
      </c>
      <c r="K9">
        <f>Table1[[#This Row],[Percentage]]/100*4</f>
        <v>4.2300000000000004</v>
      </c>
      <c r="L9" t="str" cm="1">
        <f t="array" ref="L9">_xlfn.IFS(K9&gt;3.7,"A+",K9&gt;3.3,"A-",K9&gt;=2.8,"B+",K9&gt;2.3,"B-",K9&gt;=2,"C+",K9&gt;1.3,"C-",K9&gt;=1,"D+",K9&lt;=1,"F")</f>
        <v>A+</v>
      </c>
    </row>
    <row r="10" spans="1:12" x14ac:dyDescent="0.3">
      <c r="A10">
        <v>9</v>
      </c>
      <c r="B10" t="s">
        <v>22</v>
      </c>
      <c r="C10" t="s">
        <v>13</v>
      </c>
      <c r="D10">
        <v>15</v>
      </c>
      <c r="E10" t="s">
        <v>18</v>
      </c>
      <c r="F10">
        <v>39</v>
      </c>
      <c r="G10">
        <v>16</v>
      </c>
      <c r="H10">
        <v>22</v>
      </c>
      <c r="I10">
        <v>49</v>
      </c>
      <c r="J10">
        <f t="shared" si="0"/>
        <v>80.75</v>
      </c>
      <c r="K10">
        <f>Table1[[#This Row],[Percentage]]/100*4</f>
        <v>3.23</v>
      </c>
      <c r="L10" t="str" cm="1">
        <f t="array" ref="L10">_xlfn.IFS(K10&gt;3.7,"A+",K10&gt;3.3,"A-",K10&gt;=2.8,"B+",K10&gt;2.3,"B-",K10&gt;=2,"C+",K10&gt;1.3,"C-",K10&gt;=1,"D+",K10&lt;=1,"F")</f>
        <v>B+</v>
      </c>
    </row>
    <row r="11" spans="1:12" x14ac:dyDescent="0.3">
      <c r="A11">
        <v>10</v>
      </c>
      <c r="B11" t="s">
        <v>23</v>
      </c>
      <c r="C11" t="s">
        <v>13</v>
      </c>
      <c r="D11">
        <v>15</v>
      </c>
      <c r="E11" t="s">
        <v>11</v>
      </c>
      <c r="F11">
        <v>35</v>
      </c>
      <c r="G11">
        <v>25</v>
      </c>
      <c r="H11">
        <v>37</v>
      </c>
      <c r="I11">
        <v>27</v>
      </c>
      <c r="J11">
        <f t="shared" si="0"/>
        <v>62.5</v>
      </c>
      <c r="K11">
        <f>Table1[[#This Row],[Percentage]]/100*4</f>
        <v>2.5</v>
      </c>
      <c r="L11" t="str" cm="1">
        <f t="array" ref="L11">_xlfn.IFS(K11&gt;3.7,"A+",K11&gt;3.3,"A-",K11&gt;=2.8,"B+",K11&gt;2.3,"B-",K11&gt;=2,"C+",K11&gt;1.3,"C-",K11&gt;=1,"D+",K11&lt;=1,"F")</f>
        <v>B-</v>
      </c>
    </row>
    <row r="12" spans="1:12" x14ac:dyDescent="0.3">
      <c r="A12">
        <v>11</v>
      </c>
      <c r="B12" t="s">
        <v>24</v>
      </c>
      <c r="C12" t="s">
        <v>13</v>
      </c>
      <c r="D12">
        <v>15</v>
      </c>
      <c r="E12" t="s">
        <v>11</v>
      </c>
      <c r="F12">
        <v>100</v>
      </c>
      <c r="G12">
        <v>93</v>
      </c>
      <c r="H12">
        <v>87</v>
      </c>
      <c r="I12">
        <v>81</v>
      </c>
      <c r="J12">
        <f t="shared" si="0"/>
        <v>121.24999999999999</v>
      </c>
      <c r="K12">
        <f>Table1[[#This Row],[Percentage]]/100*4</f>
        <v>4.8499999999999996</v>
      </c>
      <c r="L12" t="str" cm="1">
        <f t="array" ref="L12">_xlfn.IFS(K12&gt;3.7,"A+",K12&gt;3.3,"A-",K12&gt;=2.8,"B+",K12&gt;2.3,"B-",K12&gt;=2,"C+",K12&gt;1.3,"C-",K12&gt;=1,"D+",K12&lt;=1,"F")</f>
        <v>A+</v>
      </c>
    </row>
    <row r="13" spans="1:12" x14ac:dyDescent="0.3">
      <c r="A13">
        <v>12</v>
      </c>
      <c r="B13" t="s">
        <v>25</v>
      </c>
      <c r="C13" t="s">
        <v>13</v>
      </c>
      <c r="D13">
        <v>13</v>
      </c>
      <c r="E13" t="s">
        <v>14</v>
      </c>
      <c r="F13">
        <v>19</v>
      </c>
      <c r="G13">
        <v>5</v>
      </c>
      <c r="H13">
        <v>78</v>
      </c>
      <c r="I13">
        <v>76</v>
      </c>
      <c r="J13">
        <f t="shared" si="0"/>
        <v>134.75</v>
      </c>
      <c r="K13">
        <f>Table1[[#This Row],[Percentage]]/100*4</f>
        <v>5.39</v>
      </c>
      <c r="L13" t="str" cm="1">
        <f t="array" ref="L13">_xlfn.IFS(K13&gt;3.7,"A+",K13&gt;3.3,"A-",K13&gt;=2.8,"B+",K13&gt;2.3,"B-",K13&gt;=2,"C+",K13&gt;1.3,"C-",K13&gt;=1,"D+",K13&lt;=1,"F")</f>
        <v>A+</v>
      </c>
    </row>
    <row r="14" spans="1:12" x14ac:dyDescent="0.3">
      <c r="A14">
        <v>13</v>
      </c>
      <c r="B14" t="s">
        <v>26</v>
      </c>
      <c r="C14" t="s">
        <v>13</v>
      </c>
      <c r="D14">
        <v>15</v>
      </c>
      <c r="E14" t="s">
        <v>18</v>
      </c>
      <c r="F14">
        <v>65</v>
      </c>
      <c r="G14">
        <v>89</v>
      </c>
      <c r="H14">
        <v>96</v>
      </c>
      <c r="I14">
        <v>34</v>
      </c>
      <c r="J14">
        <f t="shared" si="0"/>
        <v>115.5</v>
      </c>
      <c r="K14">
        <f>Table1[[#This Row],[Percentage]]/100*4</f>
        <v>4.62</v>
      </c>
      <c r="L14" t="str" cm="1">
        <f t="array" ref="L14">_xlfn.IFS(K14&gt;3.7,"A+",K14&gt;3.3,"A-",K14&gt;=2.8,"B+",K14&gt;2.3,"B-",K14&gt;=2,"C+",K14&gt;1.3,"C-",K14&gt;=1,"D+",K14&lt;=1,"F")</f>
        <v>A+</v>
      </c>
    </row>
    <row r="15" spans="1:12" x14ac:dyDescent="0.3">
      <c r="A15">
        <v>14</v>
      </c>
      <c r="B15" t="s">
        <v>27</v>
      </c>
      <c r="C15" t="s">
        <v>10</v>
      </c>
      <c r="D15">
        <v>13</v>
      </c>
      <c r="E15" t="s">
        <v>14</v>
      </c>
      <c r="F15">
        <v>93</v>
      </c>
      <c r="G15">
        <v>38</v>
      </c>
      <c r="H15">
        <v>39</v>
      </c>
      <c r="I15">
        <v>93</v>
      </c>
      <c r="J15">
        <f t="shared" si="0"/>
        <v>136.75</v>
      </c>
      <c r="K15">
        <f>Table1[[#This Row],[Percentage]]/100*4</f>
        <v>5.47</v>
      </c>
      <c r="L15" t="str" cm="1">
        <f t="array" ref="L15">_xlfn.IFS(K15&gt;3.7,"A+",K15&gt;3.3,"A-",K15&gt;=2.8,"B+",K15&gt;2.3,"B-",K15&gt;=2,"C+",K15&gt;1.3,"C-",K15&gt;=1,"D+",K15&lt;=1,"F")</f>
        <v>A+</v>
      </c>
    </row>
    <row r="16" spans="1:12" x14ac:dyDescent="0.3">
      <c r="A16">
        <v>15</v>
      </c>
      <c r="B16" t="s">
        <v>28</v>
      </c>
      <c r="C16" t="s">
        <v>10</v>
      </c>
      <c r="D16">
        <v>13</v>
      </c>
      <c r="E16" t="s">
        <v>14</v>
      </c>
      <c r="F16">
        <v>98</v>
      </c>
      <c r="G16">
        <v>18</v>
      </c>
      <c r="H16">
        <v>84</v>
      </c>
      <c r="I16">
        <v>74</v>
      </c>
      <c r="J16">
        <f t="shared" si="0"/>
        <v>134.25</v>
      </c>
      <c r="K16">
        <f>Table1[[#This Row],[Percentage]]/100*4</f>
        <v>5.37</v>
      </c>
      <c r="L16" t="str" cm="1">
        <f t="array" ref="L16">_xlfn.IFS(K16&gt;3.7,"A+",K16&gt;3.3,"A-",K16&gt;=2.8,"B+",K16&gt;2.3,"B-",K16&gt;=2,"C+",K16&gt;1.3,"C-",K16&gt;=1,"D+",K16&lt;=1,"F")</f>
        <v>A+</v>
      </c>
    </row>
    <row r="17" spans="1:12" x14ac:dyDescent="0.3">
      <c r="A17">
        <v>16</v>
      </c>
      <c r="B17" t="s">
        <v>29</v>
      </c>
      <c r="C17" t="s">
        <v>13</v>
      </c>
      <c r="D17">
        <v>15</v>
      </c>
      <c r="E17" t="s">
        <v>18</v>
      </c>
      <c r="F17">
        <v>53</v>
      </c>
      <c r="G17">
        <v>30</v>
      </c>
      <c r="H17">
        <v>90</v>
      </c>
      <c r="I17">
        <v>64</v>
      </c>
      <c r="J17">
        <f t="shared" si="0"/>
        <v>127.75000000000001</v>
      </c>
      <c r="K17">
        <f>Table1[[#This Row],[Percentage]]/100*4</f>
        <v>5.1100000000000003</v>
      </c>
      <c r="L17" t="str" cm="1">
        <f t="array" ref="L17">_xlfn.IFS(K17&gt;3.7,"A+",K17&gt;3.3,"A-",K17&gt;=2.8,"B+",K17&gt;2.3,"B-",K17&gt;=2,"C+",K17&gt;1.3,"C-",K17&gt;=1,"D+",K17&lt;=1,"F")</f>
        <v>A+</v>
      </c>
    </row>
    <row r="18" spans="1:12" x14ac:dyDescent="0.3">
      <c r="A18">
        <v>17</v>
      </c>
      <c r="B18" t="s">
        <v>30</v>
      </c>
      <c r="C18" t="s">
        <v>13</v>
      </c>
      <c r="D18">
        <v>13</v>
      </c>
      <c r="E18" t="s">
        <v>18</v>
      </c>
      <c r="F18">
        <v>91</v>
      </c>
      <c r="G18">
        <v>45</v>
      </c>
      <c r="H18">
        <v>44</v>
      </c>
      <c r="I18">
        <v>45</v>
      </c>
      <c r="J18">
        <f t="shared" si="0"/>
        <v>115.5</v>
      </c>
      <c r="K18">
        <f>Table1[[#This Row],[Percentage]]/100*4</f>
        <v>4.62</v>
      </c>
      <c r="L18" t="str" cm="1">
        <f t="array" ref="L18">_xlfn.IFS(K18&gt;3.7,"A+",K18&gt;3.3,"A-",K18&gt;=2.8,"B+",K18&gt;2.3,"B-",K18&gt;=2,"C+",K18&gt;1.3,"C-",K18&gt;=1,"D+",K18&lt;=1,"F")</f>
        <v>A+</v>
      </c>
    </row>
    <row r="19" spans="1:12" x14ac:dyDescent="0.3">
      <c r="A19">
        <v>18</v>
      </c>
      <c r="B19" t="s">
        <v>31</v>
      </c>
      <c r="C19" t="s">
        <v>10</v>
      </c>
      <c r="D19">
        <v>13</v>
      </c>
      <c r="E19" t="s">
        <v>14</v>
      </c>
      <c r="F19">
        <v>5</v>
      </c>
      <c r="G19">
        <v>89</v>
      </c>
      <c r="H19">
        <v>25</v>
      </c>
      <c r="I19">
        <v>23</v>
      </c>
      <c r="J19">
        <f t="shared" si="0"/>
        <v>91.75</v>
      </c>
      <c r="K19">
        <f>Table1[[#This Row],[Percentage]]/100*4</f>
        <v>3.67</v>
      </c>
      <c r="L19" t="str" cm="1">
        <f t="array" ref="L19">_xlfn.IFS(K19&gt;3.7,"A+",K19&gt;3.3,"A-",K19&gt;=2.8,"B+",K19&gt;2.3,"B-",K19&gt;=2,"C+",K19&gt;1.3,"C-",K19&gt;=1,"D+",K19&lt;=1,"F")</f>
        <v>A-</v>
      </c>
    </row>
    <row r="20" spans="1:12" x14ac:dyDescent="0.3">
      <c r="A20">
        <v>19</v>
      </c>
      <c r="B20" t="s">
        <v>32</v>
      </c>
      <c r="C20" t="s">
        <v>10</v>
      </c>
      <c r="D20">
        <v>13</v>
      </c>
      <c r="E20" t="s">
        <v>14</v>
      </c>
      <c r="F20">
        <v>62</v>
      </c>
      <c r="G20">
        <v>77</v>
      </c>
      <c r="H20">
        <v>75</v>
      </c>
      <c r="I20">
        <v>72</v>
      </c>
      <c r="J20">
        <f t="shared" si="0"/>
        <v>107</v>
      </c>
      <c r="K20">
        <f>Table1[[#This Row],[Percentage]]/100*4</f>
        <v>4.28</v>
      </c>
      <c r="L20" t="str" cm="1">
        <f t="array" ref="L20">_xlfn.IFS(K20&gt;3.7,"A+",K20&gt;3.3,"A-",K20&gt;=2.8,"B+",K20&gt;2.3,"B-",K20&gt;=2,"C+",K20&gt;1.3,"C-",K20&gt;=1,"D+",K20&lt;=1,"F")</f>
        <v>A+</v>
      </c>
    </row>
    <row r="21" spans="1:12" x14ac:dyDescent="0.3">
      <c r="A21">
        <v>20</v>
      </c>
      <c r="B21" t="s">
        <v>33</v>
      </c>
      <c r="C21" t="s">
        <v>13</v>
      </c>
      <c r="D21">
        <v>13</v>
      </c>
      <c r="E21" t="s">
        <v>14</v>
      </c>
      <c r="F21">
        <v>41</v>
      </c>
      <c r="G21">
        <v>6</v>
      </c>
      <c r="H21">
        <v>17</v>
      </c>
      <c r="I21">
        <v>3</v>
      </c>
      <c r="J21">
        <f t="shared" si="0"/>
        <v>88.25</v>
      </c>
      <c r="K21">
        <f>Table1[[#This Row],[Percentage]]/100*4</f>
        <v>3.53</v>
      </c>
      <c r="L21" t="str" cm="1">
        <f t="array" ref="L21">_xlfn.IFS(K21&gt;3.7,"A+",K21&gt;3.3,"A-",K21&gt;=2.8,"B+",K21&gt;2.3,"B-",K21&gt;=2,"C+",K21&gt;1.3,"C-",K21&gt;=1,"D+",K21&lt;=1,"F")</f>
        <v>A-</v>
      </c>
    </row>
    <row r="22" spans="1:12" x14ac:dyDescent="0.3">
      <c r="A22">
        <v>21</v>
      </c>
      <c r="B22" t="s">
        <v>34</v>
      </c>
      <c r="C22" t="s">
        <v>13</v>
      </c>
      <c r="D22">
        <v>13</v>
      </c>
      <c r="E22" t="s">
        <v>18</v>
      </c>
      <c r="F22">
        <v>76</v>
      </c>
      <c r="G22">
        <v>96</v>
      </c>
      <c r="H22">
        <v>67</v>
      </c>
      <c r="I22">
        <v>17</v>
      </c>
      <c r="J22">
        <f t="shared" si="0"/>
        <v>80.75</v>
      </c>
      <c r="K22">
        <f>Table1[[#This Row],[Percentage]]/100*4</f>
        <v>3.23</v>
      </c>
      <c r="L22" t="str" cm="1">
        <f t="array" ref="L22">_xlfn.IFS(K22&gt;3.7,"A+",K22&gt;3.3,"A-",K22&gt;=2.8,"B+",K22&gt;2.3,"B-",K22&gt;=2,"C+",K22&gt;1.3,"C-",K22&gt;=1,"D+",K22&lt;=1,"F")</f>
        <v>B+</v>
      </c>
    </row>
    <row r="23" spans="1:12" x14ac:dyDescent="0.3">
      <c r="A23">
        <v>22</v>
      </c>
      <c r="B23" t="s">
        <v>35</v>
      </c>
      <c r="C23" t="s">
        <v>13</v>
      </c>
      <c r="D23">
        <v>14</v>
      </c>
      <c r="E23" t="s">
        <v>14</v>
      </c>
      <c r="F23">
        <v>3</v>
      </c>
      <c r="G23">
        <v>55</v>
      </c>
      <c r="H23">
        <v>14</v>
      </c>
      <c r="I23">
        <v>90</v>
      </c>
      <c r="J23">
        <f t="shared" si="0"/>
        <v>104.5</v>
      </c>
      <c r="K23">
        <f>Table1[[#This Row],[Percentage]]/100*4</f>
        <v>4.18</v>
      </c>
      <c r="L23" t="str" cm="1">
        <f t="array" ref="L23">_xlfn.IFS(K23&gt;3.7,"A+",K23&gt;3.3,"A-",K23&gt;=2.8,"B+",K23&gt;2.3,"B-",K23&gt;=2,"C+",K23&gt;1.3,"C-",K23&gt;=1,"D+",K23&lt;=1,"F")</f>
        <v>A+</v>
      </c>
    </row>
    <row r="24" spans="1:12" x14ac:dyDescent="0.3">
      <c r="A24">
        <v>23</v>
      </c>
      <c r="B24" t="s">
        <v>36</v>
      </c>
      <c r="C24" t="s">
        <v>10</v>
      </c>
      <c r="D24">
        <v>13</v>
      </c>
      <c r="E24" t="s">
        <v>11</v>
      </c>
      <c r="F24">
        <v>5</v>
      </c>
      <c r="G24">
        <v>83</v>
      </c>
      <c r="H24">
        <v>19</v>
      </c>
      <c r="I24">
        <v>39</v>
      </c>
      <c r="J24">
        <f t="shared" si="0"/>
        <v>77</v>
      </c>
      <c r="K24">
        <f>Table1[[#This Row],[Percentage]]/100*4</f>
        <v>3.08</v>
      </c>
      <c r="L24" t="str" cm="1">
        <f t="array" ref="L24">_xlfn.IFS(K24&gt;3.7,"A+",K24&gt;3.3,"A-",K24&gt;=2.8,"B+",K24&gt;2.3,"B-",K24&gt;=2,"C+",K24&gt;1.3,"C-",K24&gt;=1,"D+",K24&lt;=1,"F")</f>
        <v>B+</v>
      </c>
    </row>
    <row r="25" spans="1:12" x14ac:dyDescent="0.3">
      <c r="A25">
        <v>24</v>
      </c>
      <c r="B25" t="s">
        <v>37</v>
      </c>
      <c r="C25" t="s">
        <v>10</v>
      </c>
      <c r="D25">
        <v>14</v>
      </c>
      <c r="E25" t="s">
        <v>11</v>
      </c>
      <c r="F25">
        <v>48</v>
      </c>
      <c r="G25">
        <v>83</v>
      </c>
      <c r="H25">
        <v>79</v>
      </c>
      <c r="I25">
        <v>95</v>
      </c>
      <c r="J25">
        <f t="shared" si="0"/>
        <v>112.75</v>
      </c>
      <c r="K25">
        <f>Table1[[#This Row],[Percentage]]/100*4</f>
        <v>4.51</v>
      </c>
      <c r="L25" t="str" cm="1">
        <f t="array" ref="L25">_xlfn.IFS(K25&gt;3.7,"A+",K25&gt;3.3,"A-",K25&gt;=2.8,"B+",K25&gt;2.3,"B-",K25&gt;=2,"C+",K25&gt;1.3,"C-",K25&gt;=1,"D+",K25&lt;=1,"F")</f>
        <v>A+</v>
      </c>
    </row>
    <row r="26" spans="1:12" x14ac:dyDescent="0.3">
      <c r="A26">
        <v>25</v>
      </c>
      <c r="B26" t="s">
        <v>38</v>
      </c>
      <c r="C26" t="s">
        <v>13</v>
      </c>
      <c r="D26">
        <v>14</v>
      </c>
      <c r="E26" t="s">
        <v>18</v>
      </c>
      <c r="F26">
        <v>17</v>
      </c>
      <c r="G26">
        <v>87</v>
      </c>
      <c r="H26">
        <v>16</v>
      </c>
      <c r="I26">
        <v>50</v>
      </c>
      <c r="J26">
        <f t="shared" si="0"/>
        <v>118.75</v>
      </c>
      <c r="K26">
        <f>Table1[[#This Row],[Percentage]]/100*4</f>
        <v>4.75</v>
      </c>
      <c r="L26" t="str" cm="1">
        <f t="array" ref="L26">_xlfn.IFS(K26&gt;3.7,"A+",K26&gt;3.3,"A-",K26&gt;=2.8,"B+",K26&gt;2.3,"B-",K26&gt;=2,"C+",K26&gt;1.3,"C-",K26&gt;=1,"D+",K26&lt;=1,"F")</f>
        <v>A+</v>
      </c>
    </row>
    <row r="27" spans="1:12" x14ac:dyDescent="0.3">
      <c r="A27">
        <v>26</v>
      </c>
      <c r="B27" t="s">
        <v>39</v>
      </c>
      <c r="C27" t="s">
        <v>10</v>
      </c>
      <c r="D27">
        <v>15</v>
      </c>
      <c r="E27" t="s">
        <v>18</v>
      </c>
      <c r="F27">
        <v>16</v>
      </c>
      <c r="G27">
        <v>59</v>
      </c>
      <c r="H27">
        <v>18</v>
      </c>
      <c r="I27">
        <v>64</v>
      </c>
      <c r="J27">
        <f t="shared" si="0"/>
        <v>81.75</v>
      </c>
      <c r="K27">
        <f>Table1[[#This Row],[Percentage]]/100*4</f>
        <v>3.27</v>
      </c>
      <c r="L27" t="str" cm="1">
        <f t="array" ref="L27">_xlfn.IFS(K27&gt;3.7,"A+",K27&gt;3.3,"A-",K27&gt;=2.8,"B+",K27&gt;2.3,"B-",K27&gt;=2,"C+",K27&gt;1.3,"C-",K27&gt;=1,"D+",K27&lt;=1,"F")</f>
        <v>B+</v>
      </c>
    </row>
    <row r="28" spans="1:12" x14ac:dyDescent="0.3">
      <c r="A28">
        <v>27</v>
      </c>
      <c r="B28" t="s">
        <v>40</v>
      </c>
      <c r="C28" t="s">
        <v>10</v>
      </c>
      <c r="D28">
        <v>14</v>
      </c>
      <c r="E28" t="s">
        <v>18</v>
      </c>
      <c r="F28">
        <v>93</v>
      </c>
      <c r="G28">
        <v>93</v>
      </c>
      <c r="H28">
        <v>83</v>
      </c>
      <c r="I28">
        <v>40</v>
      </c>
      <c r="J28">
        <f t="shared" si="0"/>
        <v>116.5</v>
      </c>
      <c r="K28">
        <f>Table1[[#This Row],[Percentage]]/100*4</f>
        <v>4.66</v>
      </c>
      <c r="L28" t="str" cm="1">
        <f t="array" ref="L28">_xlfn.IFS(K28&gt;3.7,"A+",K28&gt;3.3,"A-",K28&gt;=2.8,"B+",K28&gt;2.3,"B-",K28&gt;=2,"C+",K28&gt;1.3,"C-",K28&gt;=1,"D+",K28&lt;=1,"F")</f>
        <v>A+</v>
      </c>
    </row>
    <row r="29" spans="1:12" x14ac:dyDescent="0.3">
      <c r="A29">
        <v>28</v>
      </c>
      <c r="B29" t="s">
        <v>41</v>
      </c>
      <c r="C29" t="s">
        <v>13</v>
      </c>
      <c r="D29">
        <v>14</v>
      </c>
      <c r="E29" t="s">
        <v>18</v>
      </c>
      <c r="F29">
        <v>60</v>
      </c>
      <c r="G29">
        <v>36</v>
      </c>
      <c r="H29">
        <v>86</v>
      </c>
      <c r="I29">
        <v>87</v>
      </c>
      <c r="J29">
        <f t="shared" si="0"/>
        <v>144.5</v>
      </c>
      <c r="K29">
        <f>Table1[[#This Row],[Percentage]]/100*4</f>
        <v>5.78</v>
      </c>
      <c r="L29" t="str" cm="1">
        <f t="array" ref="L29">_xlfn.IFS(K29&gt;3.7,"A+",K29&gt;3.3,"A-",K29&gt;=2.8,"B+",K29&gt;2.3,"B-",K29&gt;=2,"C+",K29&gt;1.3,"C-",K29&gt;=1,"D+",K29&lt;=1,"F")</f>
        <v>A+</v>
      </c>
    </row>
    <row r="30" spans="1:12" x14ac:dyDescent="0.3">
      <c r="A30">
        <v>29</v>
      </c>
      <c r="B30" t="s">
        <v>42</v>
      </c>
      <c r="C30" t="s">
        <v>13</v>
      </c>
      <c r="D30">
        <v>13</v>
      </c>
      <c r="E30" t="s">
        <v>11</v>
      </c>
      <c r="F30">
        <v>19</v>
      </c>
      <c r="G30">
        <v>8</v>
      </c>
      <c r="H30">
        <v>76</v>
      </c>
      <c r="I30">
        <v>75</v>
      </c>
      <c r="J30">
        <f t="shared" si="0"/>
        <v>111.75</v>
      </c>
      <c r="K30">
        <f>Table1[[#This Row],[Percentage]]/100*4</f>
        <v>4.47</v>
      </c>
      <c r="L30" t="str" cm="1">
        <f t="array" ref="L30">_xlfn.IFS(K30&gt;3.7,"A+",K30&gt;3.3,"A-",K30&gt;=2.8,"B+",K30&gt;2.3,"B-",K30&gt;=2,"C+",K30&gt;1.3,"C-",K30&gt;=1,"D+",K30&lt;=1,"F")</f>
        <v>A+</v>
      </c>
    </row>
    <row r="31" spans="1:12" x14ac:dyDescent="0.3">
      <c r="A31">
        <v>30</v>
      </c>
      <c r="B31" t="s">
        <v>43</v>
      </c>
      <c r="C31" t="s">
        <v>13</v>
      </c>
      <c r="D31">
        <v>13</v>
      </c>
      <c r="E31" t="s">
        <v>11</v>
      </c>
      <c r="F31">
        <v>95</v>
      </c>
      <c r="G31">
        <v>65</v>
      </c>
      <c r="H31">
        <v>25</v>
      </c>
      <c r="I31">
        <v>91</v>
      </c>
      <c r="J31">
        <f t="shared" si="0"/>
        <v>113.5</v>
      </c>
      <c r="K31">
        <f>Table1[[#This Row],[Percentage]]/100*4</f>
        <v>4.54</v>
      </c>
      <c r="L31" t="str" cm="1">
        <f t="array" ref="L31">_xlfn.IFS(K31&gt;3.7,"A+",K31&gt;3.3,"A-",K31&gt;=2.8,"B+",K31&gt;2.3,"B-",K31&gt;=2,"C+",K31&gt;1.3,"C-",K31&gt;=1,"D+",K31&lt;=1,"F")</f>
        <v>A+</v>
      </c>
    </row>
    <row r="32" spans="1:12" x14ac:dyDescent="0.3">
      <c r="A32">
        <v>31</v>
      </c>
      <c r="B32" t="s">
        <v>44</v>
      </c>
      <c r="C32" t="s">
        <v>10</v>
      </c>
      <c r="D32">
        <v>15</v>
      </c>
      <c r="E32" t="s">
        <v>14</v>
      </c>
      <c r="F32">
        <v>14</v>
      </c>
      <c r="G32">
        <v>83</v>
      </c>
      <c r="H32">
        <v>9</v>
      </c>
      <c r="I32">
        <v>90</v>
      </c>
      <c r="J32">
        <f t="shared" si="0"/>
        <v>118</v>
      </c>
      <c r="K32">
        <f>Table1[[#This Row],[Percentage]]/100*4</f>
        <v>4.72</v>
      </c>
      <c r="L32" t="str" cm="1">
        <f t="array" ref="L32">_xlfn.IFS(K32&gt;3.7,"A+",K32&gt;3.3,"A-",K32&gt;=2.8,"B+",K32&gt;2.3,"B-",K32&gt;=2,"C+",K32&gt;1.3,"C-",K32&gt;=1,"D+",K32&lt;=1,"F")</f>
        <v>A+</v>
      </c>
    </row>
    <row r="33" spans="1:12" x14ac:dyDescent="0.3">
      <c r="A33">
        <v>32</v>
      </c>
      <c r="B33" t="s">
        <v>45</v>
      </c>
      <c r="C33" t="s">
        <v>10</v>
      </c>
      <c r="D33">
        <v>15</v>
      </c>
      <c r="E33" t="s">
        <v>14</v>
      </c>
      <c r="F33">
        <v>17</v>
      </c>
      <c r="G33">
        <v>36</v>
      </c>
      <c r="H33">
        <v>45</v>
      </c>
      <c r="I33">
        <v>27</v>
      </c>
      <c r="J33">
        <f t="shared" si="0"/>
        <v>80.25</v>
      </c>
      <c r="K33">
        <f>Table1[[#This Row],[Percentage]]/100*4</f>
        <v>3.21</v>
      </c>
      <c r="L33" t="str" cm="1">
        <f t="array" ref="L33">_xlfn.IFS(K33&gt;3.7,"A+",K33&gt;3.3,"A-",K33&gt;=2.8,"B+",K33&gt;2.3,"B-",K33&gt;=2,"C+",K33&gt;1.3,"C-",K33&gt;=1,"D+",K33&lt;=1,"F")</f>
        <v>B+</v>
      </c>
    </row>
    <row r="34" spans="1:12" x14ac:dyDescent="0.3">
      <c r="A34">
        <v>33</v>
      </c>
      <c r="B34" t="s">
        <v>46</v>
      </c>
      <c r="C34" t="s">
        <v>10</v>
      </c>
      <c r="D34">
        <v>14</v>
      </c>
      <c r="E34" t="s">
        <v>11</v>
      </c>
      <c r="F34">
        <v>17</v>
      </c>
      <c r="G34">
        <v>74</v>
      </c>
      <c r="H34">
        <v>11</v>
      </c>
      <c r="I34">
        <v>49</v>
      </c>
      <c r="J34">
        <f t="shared" si="0"/>
        <v>69</v>
      </c>
      <c r="K34">
        <f>Table1[[#This Row],[Percentage]]/100*4</f>
        <v>2.76</v>
      </c>
      <c r="L34" t="str" cm="1">
        <f t="array" ref="L34">_xlfn.IFS(K34&gt;3.7,"A+",K34&gt;3.3,"A-",K34&gt;=2.8,"B+",K34&gt;2.3,"B-",K34&gt;=2,"C+",K34&gt;1.3,"C-",K34&gt;=1,"D+",K34&lt;=1,"F")</f>
        <v>B-</v>
      </c>
    </row>
    <row r="35" spans="1:12" x14ac:dyDescent="0.3">
      <c r="A35">
        <v>34</v>
      </c>
      <c r="B35" t="s">
        <v>47</v>
      </c>
      <c r="C35" t="s">
        <v>10</v>
      </c>
      <c r="D35">
        <v>15</v>
      </c>
      <c r="E35" t="s">
        <v>14</v>
      </c>
      <c r="F35">
        <v>54</v>
      </c>
      <c r="G35">
        <v>18</v>
      </c>
      <c r="H35">
        <v>46</v>
      </c>
      <c r="I35">
        <v>17</v>
      </c>
      <c r="J35">
        <f t="shared" si="0"/>
        <v>71.5</v>
      </c>
      <c r="K35">
        <f>Table1[[#This Row],[Percentage]]/100*4</f>
        <v>2.86</v>
      </c>
      <c r="L35" t="str" cm="1">
        <f t="array" ref="L35">_xlfn.IFS(K35&gt;3.7,"A+",K35&gt;3.3,"A-",K35&gt;=2.8,"B+",K35&gt;2.3,"B-",K35&gt;=2,"C+",K35&gt;1.3,"C-",K35&gt;=1,"D+",K35&lt;=1,"F")</f>
        <v>B+</v>
      </c>
    </row>
    <row r="36" spans="1:12" x14ac:dyDescent="0.3">
      <c r="A36">
        <v>35</v>
      </c>
      <c r="B36" t="s">
        <v>48</v>
      </c>
      <c r="C36" t="s">
        <v>10</v>
      </c>
      <c r="D36">
        <v>13</v>
      </c>
      <c r="E36" t="s">
        <v>14</v>
      </c>
      <c r="F36">
        <v>5</v>
      </c>
      <c r="G36">
        <v>75</v>
      </c>
      <c r="H36">
        <v>13</v>
      </c>
      <c r="I36">
        <v>61</v>
      </c>
      <c r="J36">
        <f t="shared" si="0"/>
        <v>72.25</v>
      </c>
      <c r="K36">
        <f>Table1[[#This Row],[Percentage]]/100*4</f>
        <v>2.89</v>
      </c>
      <c r="L36" t="str" cm="1">
        <f t="array" ref="L36">_xlfn.IFS(K36&gt;3.7,"A+",K36&gt;3.3,"A-",K36&gt;=2.8,"B+",K36&gt;2.3,"B-",K36&gt;=2,"C+",K36&gt;1.3,"C-",K36&gt;=1,"D+",K36&lt;=1,"F")</f>
        <v>B+</v>
      </c>
    </row>
    <row r="37" spans="1:12" x14ac:dyDescent="0.3">
      <c r="A37">
        <v>36</v>
      </c>
      <c r="B37" t="s">
        <v>49</v>
      </c>
      <c r="C37" t="s">
        <v>10</v>
      </c>
      <c r="D37">
        <v>15</v>
      </c>
      <c r="E37" t="s">
        <v>11</v>
      </c>
      <c r="F37">
        <v>93</v>
      </c>
      <c r="G37">
        <v>53</v>
      </c>
      <c r="H37">
        <v>10</v>
      </c>
      <c r="I37">
        <v>29</v>
      </c>
      <c r="J37">
        <f t="shared" si="0"/>
        <v>84.75</v>
      </c>
      <c r="K37">
        <f>Table1[[#This Row],[Percentage]]/100*4</f>
        <v>3.39</v>
      </c>
      <c r="L37" t="str" cm="1">
        <f t="array" ref="L37">_xlfn.IFS(K37&gt;3.7,"A+",K37&gt;3.3,"A-",K37&gt;=2.8,"B+",K37&gt;2.3,"B-",K37&gt;=2,"C+",K37&gt;1.3,"C-",K37&gt;=1,"D+",K37&lt;=1,"F")</f>
        <v>A-</v>
      </c>
    </row>
    <row r="38" spans="1:12" x14ac:dyDescent="0.3">
      <c r="A38">
        <v>37</v>
      </c>
      <c r="B38" t="s">
        <v>50</v>
      </c>
      <c r="C38" t="s">
        <v>10</v>
      </c>
      <c r="D38">
        <v>14</v>
      </c>
      <c r="E38" t="s">
        <v>18</v>
      </c>
      <c r="F38">
        <v>54</v>
      </c>
      <c r="G38">
        <v>23</v>
      </c>
      <c r="H38">
        <v>19</v>
      </c>
      <c r="I38">
        <v>94</v>
      </c>
      <c r="J38">
        <f t="shared" si="0"/>
        <v>93.75</v>
      </c>
      <c r="K38">
        <f>Table1[[#This Row],[Percentage]]/100*4</f>
        <v>3.75</v>
      </c>
      <c r="L38" t="str" cm="1">
        <f t="array" ref="L38">_xlfn.IFS(K38&gt;3.7,"A+",K38&gt;3.3,"A-",K38&gt;=2.8,"B+",K38&gt;2.3,"B-",K38&gt;=2,"C+",K38&gt;1.3,"C-",K38&gt;=1,"D+",K38&lt;=1,"F")</f>
        <v>A+</v>
      </c>
    </row>
    <row r="39" spans="1:12" x14ac:dyDescent="0.3">
      <c r="A39">
        <v>38</v>
      </c>
      <c r="B39" t="s">
        <v>51</v>
      </c>
      <c r="C39" t="s">
        <v>13</v>
      </c>
      <c r="D39">
        <v>14</v>
      </c>
      <c r="E39" t="s">
        <v>11</v>
      </c>
      <c r="F39">
        <v>90</v>
      </c>
      <c r="G39">
        <v>62</v>
      </c>
      <c r="H39">
        <v>45</v>
      </c>
      <c r="I39">
        <v>21</v>
      </c>
      <c r="J39">
        <f t="shared" si="0"/>
        <v>102</v>
      </c>
      <c r="K39">
        <f>Table1[[#This Row],[Percentage]]/100*4</f>
        <v>4.08</v>
      </c>
      <c r="L39" t="str" cm="1">
        <f t="array" ref="L39">_xlfn.IFS(K39&gt;3.7,"A+",K39&gt;3.3,"A-",K39&gt;=2.8,"B+",K39&gt;2.3,"B-",K39&gt;=2,"C+",K39&gt;1.3,"C-",K39&gt;=1,"D+",K39&lt;=1,"F")</f>
        <v>A+</v>
      </c>
    </row>
    <row r="40" spans="1:12" x14ac:dyDescent="0.3">
      <c r="A40">
        <v>39</v>
      </c>
      <c r="B40" t="s">
        <v>52</v>
      </c>
      <c r="C40" t="s">
        <v>10</v>
      </c>
      <c r="D40">
        <v>13</v>
      </c>
      <c r="E40" t="s">
        <v>18</v>
      </c>
      <c r="F40">
        <v>71</v>
      </c>
      <c r="G40">
        <v>90</v>
      </c>
      <c r="H40">
        <v>78</v>
      </c>
      <c r="I40">
        <v>35</v>
      </c>
      <c r="J40">
        <f t="shared" si="0"/>
        <v>123</v>
      </c>
      <c r="K40">
        <f>Table1[[#This Row],[Percentage]]/100*4</f>
        <v>4.92</v>
      </c>
      <c r="L40" t="str" cm="1">
        <f t="array" ref="L40">_xlfn.IFS(K40&gt;3.7,"A+",K40&gt;3.3,"A-",K40&gt;=2.8,"B+",K40&gt;2.3,"B-",K40&gt;=2,"C+",K40&gt;1.3,"C-",K40&gt;=1,"D+",K40&lt;=1,"F")</f>
        <v>A+</v>
      </c>
    </row>
    <row r="41" spans="1:12" x14ac:dyDescent="0.3">
      <c r="A41">
        <v>40</v>
      </c>
      <c r="B41" t="s">
        <v>53</v>
      </c>
      <c r="C41" t="s">
        <v>13</v>
      </c>
      <c r="D41">
        <v>13</v>
      </c>
      <c r="E41" t="s">
        <v>14</v>
      </c>
      <c r="F41">
        <v>100</v>
      </c>
      <c r="G41">
        <v>52</v>
      </c>
      <c r="H41">
        <v>89</v>
      </c>
      <c r="I41">
        <v>76</v>
      </c>
      <c r="J41">
        <f t="shared" si="0"/>
        <v>147.75</v>
      </c>
      <c r="K41">
        <f>Table1[[#This Row],[Percentage]]/100*4</f>
        <v>5.91</v>
      </c>
      <c r="L41" t="str" cm="1">
        <f t="array" ref="L41">_xlfn.IFS(K41&gt;3.7,"A+",K41&gt;3.3,"A-",K41&gt;=2.8,"B+",K41&gt;2.3,"B-",K41&gt;=2,"C+",K41&gt;1.3,"C-",K41&gt;=1,"D+",K41&lt;=1,"F")</f>
        <v>A+</v>
      </c>
    </row>
    <row r="42" spans="1:12" x14ac:dyDescent="0.3">
      <c r="A42">
        <v>41</v>
      </c>
      <c r="B42" t="s">
        <v>54</v>
      </c>
      <c r="C42" t="s">
        <v>10</v>
      </c>
      <c r="D42">
        <v>15</v>
      </c>
      <c r="E42" t="s">
        <v>11</v>
      </c>
      <c r="F42">
        <v>10</v>
      </c>
      <c r="G42">
        <v>78</v>
      </c>
      <c r="H42">
        <v>56</v>
      </c>
      <c r="I42">
        <v>41</v>
      </c>
      <c r="J42">
        <f t="shared" si="0"/>
        <v>125.49999999999999</v>
      </c>
      <c r="K42">
        <f>Table1[[#This Row],[Percentage]]/100*4</f>
        <v>5.0199999999999996</v>
      </c>
      <c r="L42" t="str" cm="1">
        <f t="array" ref="L42">_xlfn.IFS(K42&gt;3.7,"A+",K42&gt;3.3,"A-",K42&gt;=2.8,"B+",K42&gt;2.3,"B-",K42&gt;=2,"C+",K42&gt;1.3,"C-",K42&gt;=1,"D+",K42&lt;=1,"F")</f>
        <v>A+</v>
      </c>
    </row>
    <row r="43" spans="1:12" x14ac:dyDescent="0.3">
      <c r="A43">
        <v>42</v>
      </c>
      <c r="B43" t="s">
        <v>55</v>
      </c>
      <c r="C43" t="s">
        <v>10</v>
      </c>
      <c r="D43">
        <v>13</v>
      </c>
      <c r="E43" t="s">
        <v>14</v>
      </c>
      <c r="F43">
        <v>21</v>
      </c>
      <c r="G43">
        <v>89</v>
      </c>
      <c r="H43">
        <v>72</v>
      </c>
      <c r="I43">
        <v>84</v>
      </c>
      <c r="J43">
        <f t="shared" si="0"/>
        <v>112.75</v>
      </c>
      <c r="K43">
        <f>Table1[[#This Row],[Percentage]]/100*4</f>
        <v>4.51</v>
      </c>
      <c r="L43" t="str" cm="1">
        <f t="array" ref="L43">_xlfn.IFS(K43&gt;3.7,"A+",K43&gt;3.3,"A-",K43&gt;=2.8,"B+",K43&gt;2.3,"B-",K43&gt;=2,"C+",K43&gt;1.3,"C-",K43&gt;=1,"D+",K43&lt;=1,"F")</f>
        <v>A+</v>
      </c>
    </row>
    <row r="44" spans="1:12" x14ac:dyDescent="0.3">
      <c r="A44">
        <v>43</v>
      </c>
      <c r="B44" t="s">
        <v>56</v>
      </c>
      <c r="C44" t="s">
        <v>13</v>
      </c>
      <c r="D44">
        <v>15</v>
      </c>
      <c r="E44" t="s">
        <v>14</v>
      </c>
      <c r="F44">
        <v>43</v>
      </c>
      <c r="G44">
        <v>2</v>
      </c>
      <c r="H44">
        <v>17</v>
      </c>
      <c r="I44">
        <v>78</v>
      </c>
      <c r="J44">
        <f t="shared" si="0"/>
        <v>101.49999999999999</v>
      </c>
      <c r="K44">
        <f>Table1[[#This Row],[Percentage]]/100*4</f>
        <v>4.0599999999999996</v>
      </c>
      <c r="L44" t="str" cm="1">
        <f t="array" ref="L44">_xlfn.IFS(K44&gt;3.7,"A+",K44&gt;3.3,"A-",K44&gt;=2.8,"B+",K44&gt;2.3,"B-",K44&gt;=2,"C+",K44&gt;1.3,"C-",K44&gt;=1,"D+",K44&lt;=1,"F")</f>
        <v>A+</v>
      </c>
    </row>
    <row r="45" spans="1:12" x14ac:dyDescent="0.3">
      <c r="A45">
        <v>44</v>
      </c>
      <c r="B45" t="s">
        <v>57</v>
      </c>
      <c r="C45" t="s">
        <v>10</v>
      </c>
      <c r="D45">
        <v>15</v>
      </c>
      <c r="E45" t="s">
        <v>14</v>
      </c>
      <c r="F45">
        <v>26</v>
      </c>
      <c r="G45">
        <v>46</v>
      </c>
      <c r="H45">
        <v>81</v>
      </c>
      <c r="I45">
        <v>63</v>
      </c>
      <c r="J45">
        <f t="shared" si="0"/>
        <v>89</v>
      </c>
      <c r="K45">
        <f>Table1[[#This Row],[Percentage]]/100*4</f>
        <v>3.56</v>
      </c>
      <c r="L45" t="str" cm="1">
        <f t="array" ref="L45">_xlfn.IFS(K45&gt;3.7,"A+",K45&gt;3.3,"A-",K45&gt;=2.8,"B+",K45&gt;2.3,"B-",K45&gt;=2,"C+",K45&gt;1.3,"C-",K45&gt;=1,"D+",K45&lt;=1,"F")</f>
        <v>A-</v>
      </c>
    </row>
    <row r="46" spans="1:12" x14ac:dyDescent="0.3">
      <c r="A46">
        <v>45</v>
      </c>
      <c r="B46" t="s">
        <v>58</v>
      </c>
      <c r="C46" t="s">
        <v>13</v>
      </c>
      <c r="D46">
        <v>15</v>
      </c>
      <c r="E46" t="s">
        <v>11</v>
      </c>
      <c r="F46">
        <v>65</v>
      </c>
      <c r="G46">
        <v>7</v>
      </c>
      <c r="H46">
        <v>57</v>
      </c>
      <c r="I46">
        <v>27</v>
      </c>
      <c r="J46">
        <f t="shared" si="0"/>
        <v>93</v>
      </c>
      <c r="K46">
        <f>Table1[[#This Row],[Percentage]]/100*4</f>
        <v>3.72</v>
      </c>
      <c r="L46" t="str" cm="1">
        <f t="array" ref="L46">_xlfn.IFS(K46&gt;3.7,"A+",K46&gt;3.3,"A-",K46&gt;=2.8,"B+",K46&gt;2.3,"B-",K46&gt;=2,"C+",K46&gt;1.3,"C-",K46&gt;=1,"D+",K46&lt;=1,"F")</f>
        <v>A+</v>
      </c>
    </row>
    <row r="47" spans="1:12" x14ac:dyDescent="0.3">
      <c r="A47">
        <v>46</v>
      </c>
      <c r="B47" t="s">
        <v>59</v>
      </c>
      <c r="C47" t="s">
        <v>13</v>
      </c>
      <c r="D47">
        <v>14</v>
      </c>
      <c r="E47" t="s">
        <v>18</v>
      </c>
      <c r="F47">
        <v>50</v>
      </c>
      <c r="G47">
        <v>22</v>
      </c>
      <c r="H47">
        <v>50</v>
      </c>
      <c r="I47">
        <v>78</v>
      </c>
      <c r="J47">
        <f t="shared" si="0"/>
        <v>89</v>
      </c>
      <c r="K47">
        <f>Table1[[#This Row],[Percentage]]/100*4</f>
        <v>3.56</v>
      </c>
      <c r="L47" t="str" cm="1">
        <f t="array" ref="L47">_xlfn.IFS(K47&gt;3.7,"A+",K47&gt;3.3,"A-",K47&gt;=2.8,"B+",K47&gt;2.3,"B-",K47&gt;=2,"C+",K47&gt;1.3,"C-",K47&gt;=1,"D+",K47&lt;=1,"F")</f>
        <v>A-</v>
      </c>
    </row>
    <row r="48" spans="1:12" x14ac:dyDescent="0.3">
      <c r="A48">
        <v>47</v>
      </c>
      <c r="B48" t="s">
        <v>60</v>
      </c>
      <c r="C48" t="s">
        <v>10</v>
      </c>
      <c r="D48">
        <v>14</v>
      </c>
      <c r="E48" t="s">
        <v>18</v>
      </c>
      <c r="F48">
        <v>84</v>
      </c>
      <c r="G48">
        <v>57</v>
      </c>
      <c r="H48">
        <v>25</v>
      </c>
      <c r="I48">
        <v>57</v>
      </c>
      <c r="J48">
        <f t="shared" si="0"/>
        <v>105.75000000000001</v>
      </c>
      <c r="K48">
        <f>Table1[[#This Row],[Percentage]]/100*4</f>
        <v>4.2300000000000004</v>
      </c>
      <c r="L48" t="str" cm="1">
        <f t="array" ref="L48">_xlfn.IFS(K48&gt;3.7,"A+",K48&gt;3.3,"A-",K48&gt;=2.8,"B+",K48&gt;2.3,"B-",K48&gt;=2,"C+",K48&gt;1.3,"C-",K48&gt;=1,"D+",K48&lt;=1,"F")</f>
        <v>A+</v>
      </c>
    </row>
    <row r="49" spans="1:12" x14ac:dyDescent="0.3">
      <c r="A49">
        <v>48</v>
      </c>
      <c r="B49" t="s">
        <v>61</v>
      </c>
      <c r="C49" t="s">
        <v>10</v>
      </c>
      <c r="D49">
        <v>15</v>
      </c>
      <c r="E49" t="s">
        <v>11</v>
      </c>
      <c r="F49">
        <v>78</v>
      </c>
      <c r="G49">
        <v>58</v>
      </c>
      <c r="H49">
        <v>1</v>
      </c>
      <c r="I49">
        <v>33</v>
      </c>
      <c r="J49">
        <f t="shared" si="0"/>
        <v>98.25</v>
      </c>
      <c r="K49">
        <f>Table1[[#This Row],[Percentage]]/100*4</f>
        <v>3.93</v>
      </c>
      <c r="L49" t="str" cm="1">
        <f t="array" ref="L49">_xlfn.IFS(K49&gt;3.7,"A+",K49&gt;3.3,"A-",K49&gt;=2.8,"B+",K49&gt;2.3,"B-",K49&gt;=2,"C+",K49&gt;1.3,"C-",K49&gt;=1,"D+",K49&lt;=1,"F")</f>
        <v>A+</v>
      </c>
    </row>
    <row r="50" spans="1:12" x14ac:dyDescent="0.3">
      <c r="A50">
        <v>49</v>
      </c>
      <c r="B50" t="s">
        <v>62</v>
      </c>
      <c r="C50" t="s">
        <v>13</v>
      </c>
      <c r="D50">
        <v>13</v>
      </c>
      <c r="E50" t="s">
        <v>14</v>
      </c>
      <c r="F50">
        <v>81</v>
      </c>
      <c r="G50">
        <v>25</v>
      </c>
      <c r="H50">
        <v>99</v>
      </c>
      <c r="I50">
        <v>13</v>
      </c>
      <c r="J50">
        <f t="shared" si="0"/>
        <v>97</v>
      </c>
      <c r="K50">
        <f>Table1[[#This Row],[Percentage]]/100*4</f>
        <v>3.88</v>
      </c>
      <c r="L50" t="str" cm="1">
        <f t="array" ref="L50">_xlfn.IFS(K50&gt;3.7,"A+",K50&gt;3.3,"A-",K50&gt;=2.8,"B+",K50&gt;2.3,"B-",K50&gt;=2,"C+",K50&gt;1.3,"C-",K50&gt;=1,"D+",K50&lt;=1,"F")</f>
        <v>A+</v>
      </c>
    </row>
    <row r="51" spans="1:12" x14ac:dyDescent="0.3">
      <c r="A51">
        <v>50</v>
      </c>
      <c r="B51" t="s">
        <v>63</v>
      </c>
      <c r="C51" t="s">
        <v>13</v>
      </c>
      <c r="D51">
        <v>14</v>
      </c>
      <c r="E51" t="s">
        <v>18</v>
      </c>
      <c r="F51">
        <v>94</v>
      </c>
      <c r="G51">
        <v>15</v>
      </c>
      <c r="H51">
        <v>66</v>
      </c>
      <c r="I51">
        <v>34</v>
      </c>
      <c r="J51">
        <f t="shared" si="0"/>
        <v>106.74999999999999</v>
      </c>
      <c r="K51">
        <f>Table1[[#This Row],[Percentage]]/100*4</f>
        <v>4.2699999999999996</v>
      </c>
      <c r="L51" t="str" cm="1">
        <f t="array" ref="L51">_xlfn.IFS(K51&gt;3.7,"A+",K51&gt;3.3,"A-",K51&gt;=2.8,"B+",K51&gt;2.3,"B-",K51&gt;=2,"C+",K51&gt;1.3,"C-",K51&gt;=1,"D+",K51&lt;=1,"F")</f>
        <v>A+</v>
      </c>
    </row>
    <row r="52" spans="1:12" x14ac:dyDescent="0.3">
      <c r="A52">
        <v>51</v>
      </c>
      <c r="B52" t="s">
        <v>64</v>
      </c>
      <c r="C52" t="s">
        <v>13</v>
      </c>
      <c r="D52">
        <v>14</v>
      </c>
      <c r="E52" t="s">
        <v>11</v>
      </c>
      <c r="F52">
        <v>31</v>
      </c>
      <c r="G52">
        <v>37</v>
      </c>
      <c r="H52">
        <v>77</v>
      </c>
      <c r="I52">
        <v>79</v>
      </c>
      <c r="J52">
        <f t="shared" si="0"/>
        <v>108.25</v>
      </c>
      <c r="K52">
        <f>Table1[[#This Row],[Percentage]]/100*4</f>
        <v>4.33</v>
      </c>
      <c r="L52" t="str" cm="1">
        <f t="array" ref="L52">_xlfn.IFS(K52&gt;3.7,"A+",K52&gt;3.3,"A-",K52&gt;=2.8,"B+",K52&gt;2.3,"B-",K52&gt;=2,"C+",K52&gt;1.3,"C-",K52&gt;=1,"D+",K52&lt;=1,"F")</f>
        <v>A+</v>
      </c>
    </row>
    <row r="53" spans="1:12" x14ac:dyDescent="0.3">
      <c r="A53">
        <v>52</v>
      </c>
      <c r="B53" t="s">
        <v>65</v>
      </c>
      <c r="C53" t="s">
        <v>10</v>
      </c>
      <c r="D53">
        <v>13</v>
      </c>
      <c r="E53" t="s">
        <v>18</v>
      </c>
      <c r="F53">
        <v>17</v>
      </c>
      <c r="G53">
        <v>99</v>
      </c>
      <c r="H53">
        <v>29</v>
      </c>
      <c r="I53">
        <v>85</v>
      </c>
      <c r="J53">
        <f t="shared" si="0"/>
        <v>113.5</v>
      </c>
      <c r="K53">
        <f>Table1[[#This Row],[Percentage]]/100*4</f>
        <v>4.54</v>
      </c>
      <c r="L53" t="str" cm="1">
        <f t="array" ref="L53">_xlfn.IFS(K53&gt;3.7,"A+",K53&gt;3.3,"A-",K53&gt;=2.8,"B+",K53&gt;2.3,"B-",K53&gt;=2,"C+",K53&gt;1.3,"C-",K53&gt;=1,"D+",K53&lt;=1,"F")</f>
        <v>A+</v>
      </c>
    </row>
    <row r="54" spans="1:12" x14ac:dyDescent="0.3">
      <c r="A54">
        <v>53</v>
      </c>
      <c r="B54" t="s">
        <v>66</v>
      </c>
      <c r="C54" t="s">
        <v>10</v>
      </c>
      <c r="D54">
        <v>15</v>
      </c>
      <c r="E54" t="s">
        <v>14</v>
      </c>
      <c r="F54">
        <v>15</v>
      </c>
      <c r="G54">
        <v>84</v>
      </c>
      <c r="H54">
        <v>40</v>
      </c>
      <c r="I54">
        <v>40</v>
      </c>
      <c r="J54">
        <f t="shared" si="0"/>
        <v>102.25</v>
      </c>
      <c r="K54">
        <f>Table1[[#This Row],[Percentage]]/100*4</f>
        <v>4.09</v>
      </c>
      <c r="L54" t="str" cm="1">
        <f t="array" ref="L54">_xlfn.IFS(K54&gt;3.7,"A+",K54&gt;3.3,"A-",K54&gt;=2.8,"B+",K54&gt;2.3,"B-",K54&gt;=2,"C+",K54&gt;1.3,"C-",K54&gt;=1,"D+",K54&lt;=1,"F")</f>
        <v>A+</v>
      </c>
    </row>
    <row r="55" spans="1:12" x14ac:dyDescent="0.3">
      <c r="A55">
        <v>54</v>
      </c>
      <c r="B55" t="s">
        <v>67</v>
      </c>
      <c r="C55" t="s">
        <v>13</v>
      </c>
      <c r="D55">
        <v>15</v>
      </c>
      <c r="E55" t="s">
        <v>11</v>
      </c>
      <c r="F55">
        <v>23</v>
      </c>
      <c r="G55">
        <v>44</v>
      </c>
      <c r="H55">
        <v>76</v>
      </c>
      <c r="I55">
        <v>46</v>
      </c>
      <c r="J55">
        <f t="shared" si="0"/>
        <v>92</v>
      </c>
      <c r="K55">
        <f>Table1[[#This Row],[Percentage]]/100*4</f>
        <v>3.68</v>
      </c>
      <c r="L55" t="str" cm="1">
        <f t="array" ref="L55">_xlfn.IFS(K55&gt;3.7,"A+",K55&gt;3.3,"A-",K55&gt;=2.8,"B+",K55&gt;2.3,"B-",K55&gt;=2,"C+",K55&gt;1.3,"C-",K55&gt;=1,"D+",K55&lt;=1,"F")</f>
        <v>A-</v>
      </c>
    </row>
    <row r="56" spans="1:12" x14ac:dyDescent="0.3">
      <c r="A56">
        <v>55</v>
      </c>
      <c r="B56" t="s">
        <v>68</v>
      </c>
      <c r="C56" t="s">
        <v>13</v>
      </c>
      <c r="D56">
        <v>15</v>
      </c>
      <c r="E56" t="s">
        <v>14</v>
      </c>
      <c r="F56">
        <v>55</v>
      </c>
      <c r="G56">
        <v>64</v>
      </c>
      <c r="H56">
        <v>56</v>
      </c>
      <c r="I56">
        <v>69</v>
      </c>
      <c r="J56">
        <f t="shared" si="0"/>
        <v>108.25</v>
      </c>
      <c r="K56">
        <f>Table1[[#This Row],[Percentage]]/100*4</f>
        <v>4.33</v>
      </c>
      <c r="L56" t="str" cm="1">
        <f t="array" ref="L56">_xlfn.IFS(K56&gt;3.7,"A+",K56&gt;3.3,"A-",K56&gt;=2.8,"B+",K56&gt;2.3,"B-",K56&gt;=2,"C+",K56&gt;1.3,"C-",K56&gt;=1,"D+",K56&lt;=1,"F")</f>
        <v>A+</v>
      </c>
    </row>
    <row r="57" spans="1:12" x14ac:dyDescent="0.3">
      <c r="A57">
        <v>56</v>
      </c>
      <c r="B57" t="s">
        <v>69</v>
      </c>
      <c r="C57" t="s">
        <v>10</v>
      </c>
      <c r="D57">
        <v>14</v>
      </c>
      <c r="E57" t="s">
        <v>14</v>
      </c>
      <c r="F57">
        <v>53</v>
      </c>
      <c r="G57">
        <v>53</v>
      </c>
      <c r="H57">
        <v>49</v>
      </c>
      <c r="I57">
        <v>43</v>
      </c>
      <c r="J57">
        <f t="shared" si="0"/>
        <v>110.5</v>
      </c>
      <c r="K57">
        <f>Table1[[#This Row],[Percentage]]/100*4</f>
        <v>4.42</v>
      </c>
      <c r="L57" t="str" cm="1">
        <f t="array" ref="L57">_xlfn.IFS(K57&gt;3.7,"A+",K57&gt;3.3,"A-",K57&gt;=2.8,"B+",K57&gt;2.3,"B-",K57&gt;=2,"C+",K57&gt;1.3,"C-",K57&gt;=1,"D+",K57&lt;=1,"F")</f>
        <v>A+</v>
      </c>
    </row>
    <row r="58" spans="1:12" x14ac:dyDescent="0.3">
      <c r="A58">
        <v>57</v>
      </c>
      <c r="B58" t="s">
        <v>70</v>
      </c>
      <c r="C58" t="s">
        <v>13</v>
      </c>
      <c r="D58">
        <v>15</v>
      </c>
      <c r="E58" t="s">
        <v>18</v>
      </c>
      <c r="F58">
        <v>46</v>
      </c>
      <c r="G58">
        <v>37</v>
      </c>
      <c r="H58">
        <v>63</v>
      </c>
      <c r="I58">
        <v>17</v>
      </c>
      <c r="J58">
        <f t="shared" si="0"/>
        <v>90.25</v>
      </c>
      <c r="K58">
        <f>Table1[[#This Row],[Percentage]]/100*4</f>
        <v>3.61</v>
      </c>
      <c r="L58" t="str" cm="1">
        <f t="array" ref="L58">_xlfn.IFS(K58&gt;3.7,"A+",K58&gt;3.3,"A-",K58&gt;=2.8,"B+",K58&gt;2.3,"B-",K58&gt;=2,"C+",K58&gt;1.3,"C-",K58&gt;=1,"D+",K58&lt;=1,"F")</f>
        <v>A-</v>
      </c>
    </row>
    <row r="59" spans="1:12" x14ac:dyDescent="0.3">
      <c r="A59">
        <v>58</v>
      </c>
      <c r="B59" t="s">
        <v>71</v>
      </c>
      <c r="C59" t="s">
        <v>13</v>
      </c>
      <c r="D59">
        <v>14</v>
      </c>
      <c r="E59" t="s">
        <v>18</v>
      </c>
      <c r="F59">
        <v>64</v>
      </c>
      <c r="G59">
        <v>1</v>
      </c>
      <c r="H59">
        <v>74</v>
      </c>
      <c r="I59">
        <v>6</v>
      </c>
      <c r="J59">
        <f t="shared" si="0"/>
        <v>77</v>
      </c>
      <c r="K59">
        <f>Table1[[#This Row],[Percentage]]/100*4</f>
        <v>3.08</v>
      </c>
      <c r="L59" t="str" cm="1">
        <f t="array" ref="L59">_xlfn.IFS(K59&gt;3.7,"A+",K59&gt;3.3,"A-",K59&gt;=2.8,"B+",K59&gt;2.3,"B-",K59&gt;=2,"C+",K59&gt;1.3,"C-",K59&gt;=1,"D+",K59&lt;=1,"F")</f>
        <v>B+</v>
      </c>
    </row>
    <row r="60" spans="1:12" x14ac:dyDescent="0.3">
      <c r="A60">
        <v>59</v>
      </c>
      <c r="B60" t="s">
        <v>72</v>
      </c>
      <c r="C60" t="s">
        <v>10</v>
      </c>
      <c r="D60">
        <v>14</v>
      </c>
      <c r="E60" t="s">
        <v>11</v>
      </c>
      <c r="F60">
        <v>41</v>
      </c>
      <c r="G60">
        <v>37</v>
      </c>
      <c r="H60">
        <v>26</v>
      </c>
      <c r="I60">
        <v>65</v>
      </c>
      <c r="J60">
        <f t="shared" si="0"/>
        <v>78.5</v>
      </c>
      <c r="K60">
        <f>Table1[[#This Row],[Percentage]]/100*4</f>
        <v>3.14</v>
      </c>
      <c r="L60" t="str" cm="1">
        <f t="array" ref="L60">_xlfn.IFS(K60&gt;3.7,"A+",K60&gt;3.3,"A-",K60&gt;=2.8,"B+",K60&gt;2.3,"B-",K60&gt;=2,"C+",K60&gt;1.3,"C-",K60&gt;=1,"D+",K60&lt;=1,"F")</f>
        <v>B+</v>
      </c>
    </row>
    <row r="61" spans="1:12" x14ac:dyDescent="0.3">
      <c r="A61">
        <v>60</v>
      </c>
      <c r="B61" t="s">
        <v>73</v>
      </c>
      <c r="C61" t="s">
        <v>10</v>
      </c>
      <c r="D61">
        <v>14</v>
      </c>
      <c r="E61" t="s">
        <v>14</v>
      </c>
      <c r="F61">
        <v>61</v>
      </c>
      <c r="G61">
        <v>71</v>
      </c>
      <c r="H61">
        <v>77</v>
      </c>
      <c r="I61">
        <v>64</v>
      </c>
      <c r="J61">
        <f t="shared" si="0"/>
        <v>110.5</v>
      </c>
      <c r="K61">
        <f>Table1[[#This Row],[Percentage]]/100*4</f>
        <v>4.42</v>
      </c>
      <c r="L61" t="str" cm="1">
        <f t="array" ref="L61">_xlfn.IFS(K61&gt;3.7,"A+",K61&gt;3.3,"A-",K61&gt;=2.8,"B+",K61&gt;2.3,"B-",K61&gt;=2,"C+",K61&gt;1.3,"C-",K61&gt;=1,"D+",K61&lt;=1,"F")</f>
        <v>A+</v>
      </c>
    </row>
    <row r="62" spans="1:12" x14ac:dyDescent="0.3">
      <c r="A62">
        <v>61</v>
      </c>
      <c r="B62" t="s">
        <v>74</v>
      </c>
      <c r="C62" t="s">
        <v>10</v>
      </c>
      <c r="D62">
        <v>14</v>
      </c>
      <c r="E62" t="s">
        <v>11</v>
      </c>
      <c r="F62">
        <v>16</v>
      </c>
      <c r="G62">
        <v>57</v>
      </c>
      <c r="H62">
        <v>90</v>
      </c>
      <c r="I62">
        <v>14</v>
      </c>
      <c r="J62">
        <f t="shared" si="0"/>
        <v>112.5</v>
      </c>
      <c r="K62">
        <f>Table1[[#This Row],[Percentage]]/100*4</f>
        <v>4.5</v>
      </c>
      <c r="L62" t="str" cm="1">
        <f t="array" ref="L62">_xlfn.IFS(K62&gt;3.7,"A+",K62&gt;3.3,"A-",K62&gt;=2.8,"B+",K62&gt;2.3,"B-",K62&gt;=2,"C+",K62&gt;1.3,"C-",K62&gt;=1,"D+",K62&lt;=1,"F")</f>
        <v>A+</v>
      </c>
    </row>
    <row r="63" spans="1:12" x14ac:dyDescent="0.3">
      <c r="A63">
        <v>62</v>
      </c>
      <c r="B63" t="s">
        <v>75</v>
      </c>
      <c r="C63" t="s">
        <v>10</v>
      </c>
      <c r="D63">
        <v>13</v>
      </c>
      <c r="E63" t="s">
        <v>11</v>
      </c>
      <c r="F63">
        <v>49</v>
      </c>
      <c r="G63">
        <v>90</v>
      </c>
      <c r="H63">
        <v>13</v>
      </c>
      <c r="I63">
        <v>98</v>
      </c>
      <c r="J63">
        <f t="shared" si="0"/>
        <v>106.74999999999999</v>
      </c>
      <c r="K63">
        <f>Table1[[#This Row],[Percentage]]/100*4</f>
        <v>4.2699999999999996</v>
      </c>
      <c r="L63" t="str" cm="1">
        <f t="array" ref="L63">_xlfn.IFS(K63&gt;3.7,"A+",K63&gt;3.3,"A-",K63&gt;=2.8,"B+",K63&gt;2.3,"B-",K63&gt;=2,"C+",K63&gt;1.3,"C-",K63&gt;=1,"D+",K63&lt;=1,"F")</f>
        <v>A+</v>
      </c>
    </row>
    <row r="64" spans="1:12" x14ac:dyDescent="0.3">
      <c r="A64">
        <v>63</v>
      </c>
      <c r="B64" t="s">
        <v>76</v>
      </c>
      <c r="C64" t="s">
        <v>13</v>
      </c>
      <c r="D64">
        <v>14</v>
      </c>
      <c r="E64" t="s">
        <v>18</v>
      </c>
      <c r="F64">
        <v>16</v>
      </c>
      <c r="G64">
        <v>45</v>
      </c>
      <c r="H64">
        <v>44</v>
      </c>
      <c r="I64">
        <v>5</v>
      </c>
      <c r="J64">
        <f t="shared" si="0"/>
        <v>90</v>
      </c>
      <c r="K64">
        <f>Table1[[#This Row],[Percentage]]/100*4</f>
        <v>3.6</v>
      </c>
      <c r="L64" t="str" cm="1">
        <f t="array" ref="L64">_xlfn.IFS(K64&gt;3.7,"A+",K64&gt;3.3,"A-",K64&gt;=2.8,"B+",K64&gt;2.3,"B-",K64&gt;=2,"C+",K64&gt;1.3,"C-",K64&gt;=1,"D+",K64&lt;=1,"F")</f>
        <v>A-</v>
      </c>
    </row>
    <row r="65" spans="1:12" x14ac:dyDescent="0.3">
      <c r="A65">
        <v>64</v>
      </c>
      <c r="B65" t="s">
        <v>77</v>
      </c>
      <c r="C65" t="s">
        <v>13</v>
      </c>
      <c r="D65">
        <v>15</v>
      </c>
      <c r="E65" t="s">
        <v>14</v>
      </c>
      <c r="F65">
        <v>78</v>
      </c>
      <c r="G65">
        <v>74</v>
      </c>
      <c r="H65">
        <v>31</v>
      </c>
      <c r="I65">
        <v>85</v>
      </c>
      <c r="J65">
        <f t="shared" si="0"/>
        <v>94.5</v>
      </c>
      <c r="K65">
        <f>Table1[[#This Row],[Percentage]]/100*4</f>
        <v>3.78</v>
      </c>
      <c r="L65" t="str" cm="1">
        <f t="array" ref="L65">_xlfn.IFS(K65&gt;3.7,"A+",K65&gt;3.3,"A-",K65&gt;=2.8,"B+",K65&gt;2.3,"B-",K65&gt;=2,"C+",K65&gt;1.3,"C-",K65&gt;=1,"D+",K65&lt;=1,"F")</f>
        <v>A+</v>
      </c>
    </row>
    <row r="66" spans="1:12" x14ac:dyDescent="0.3">
      <c r="A66">
        <v>65</v>
      </c>
      <c r="B66" t="s">
        <v>78</v>
      </c>
      <c r="C66" t="s">
        <v>10</v>
      </c>
      <c r="D66">
        <v>14</v>
      </c>
      <c r="E66" t="s">
        <v>11</v>
      </c>
      <c r="F66">
        <v>88</v>
      </c>
      <c r="G66">
        <v>72</v>
      </c>
      <c r="H66">
        <v>31</v>
      </c>
      <c r="I66">
        <v>27</v>
      </c>
      <c r="J66">
        <f t="shared" ref="J66:J129" si="1">SUM(F65:I66)/400*100</f>
        <v>121.50000000000001</v>
      </c>
      <c r="K66">
        <f>Table1[[#This Row],[Percentage]]/100*4</f>
        <v>4.8600000000000003</v>
      </c>
      <c r="L66" t="str" cm="1">
        <f t="array" ref="L66">_xlfn.IFS(K66&gt;3.7,"A+",K66&gt;3.3,"A-",K66&gt;=2.8,"B+",K66&gt;2.3,"B-",K66&gt;=2,"C+",K66&gt;1.3,"C-",K66&gt;=1,"D+",K66&lt;=1,"F")</f>
        <v>A+</v>
      </c>
    </row>
    <row r="67" spans="1:12" x14ac:dyDescent="0.3">
      <c r="A67">
        <v>66</v>
      </c>
      <c r="B67" t="s">
        <v>79</v>
      </c>
      <c r="C67" t="s">
        <v>10</v>
      </c>
      <c r="D67">
        <v>14</v>
      </c>
      <c r="E67" t="s">
        <v>11</v>
      </c>
      <c r="F67">
        <v>85</v>
      </c>
      <c r="G67">
        <v>6</v>
      </c>
      <c r="H67">
        <v>10</v>
      </c>
      <c r="I67">
        <v>85</v>
      </c>
      <c r="J67">
        <f t="shared" si="1"/>
        <v>101</v>
      </c>
      <c r="K67">
        <f>Table1[[#This Row],[Percentage]]/100*4</f>
        <v>4.04</v>
      </c>
      <c r="L67" t="str" cm="1">
        <f t="array" ref="L67">_xlfn.IFS(K67&gt;3.7,"A+",K67&gt;3.3,"A-",K67&gt;=2.8,"B+",K67&gt;2.3,"B-",K67&gt;=2,"C+",K67&gt;1.3,"C-",K67&gt;=1,"D+",K67&lt;=1,"F")</f>
        <v>A+</v>
      </c>
    </row>
    <row r="68" spans="1:12" x14ac:dyDescent="0.3">
      <c r="A68">
        <v>67</v>
      </c>
      <c r="B68" t="s">
        <v>80</v>
      </c>
      <c r="C68" t="s">
        <v>10</v>
      </c>
      <c r="D68">
        <v>15</v>
      </c>
      <c r="E68" t="s">
        <v>11</v>
      </c>
      <c r="F68">
        <v>45</v>
      </c>
      <c r="G68">
        <v>41</v>
      </c>
      <c r="H68">
        <v>26</v>
      </c>
      <c r="I68">
        <v>12</v>
      </c>
      <c r="J68">
        <f t="shared" si="1"/>
        <v>77.5</v>
      </c>
      <c r="K68">
        <f>Table1[[#This Row],[Percentage]]/100*4</f>
        <v>3.1</v>
      </c>
      <c r="L68" t="str" cm="1">
        <f t="array" ref="L68">_xlfn.IFS(K68&gt;3.7,"A+",K68&gt;3.3,"A-",K68&gt;=2.8,"B+",K68&gt;2.3,"B-",K68&gt;=2,"C+",K68&gt;1.3,"C-",K68&gt;=1,"D+",K68&lt;=1,"F")</f>
        <v>B+</v>
      </c>
    </row>
    <row r="69" spans="1:12" x14ac:dyDescent="0.3">
      <c r="A69">
        <v>68</v>
      </c>
      <c r="B69" t="s">
        <v>81</v>
      </c>
      <c r="C69" t="s">
        <v>13</v>
      </c>
      <c r="D69">
        <v>15</v>
      </c>
      <c r="E69" t="s">
        <v>11</v>
      </c>
      <c r="F69">
        <v>39</v>
      </c>
      <c r="G69">
        <v>7</v>
      </c>
      <c r="H69">
        <v>100</v>
      </c>
      <c r="I69">
        <v>70</v>
      </c>
      <c r="J69">
        <f t="shared" si="1"/>
        <v>85</v>
      </c>
      <c r="K69">
        <f>Table1[[#This Row],[Percentage]]/100*4</f>
        <v>3.4</v>
      </c>
      <c r="L69" t="str" cm="1">
        <f t="array" ref="L69">_xlfn.IFS(K69&gt;3.7,"A+",K69&gt;3.3,"A-",K69&gt;=2.8,"B+",K69&gt;2.3,"B-",K69&gt;=2,"C+",K69&gt;1.3,"C-",K69&gt;=1,"D+",K69&lt;=1,"F")</f>
        <v>A-</v>
      </c>
    </row>
    <row r="70" spans="1:12" x14ac:dyDescent="0.3">
      <c r="A70">
        <v>69</v>
      </c>
      <c r="B70" t="s">
        <v>82</v>
      </c>
      <c r="C70" t="s">
        <v>10</v>
      </c>
      <c r="D70">
        <v>15</v>
      </c>
      <c r="E70" t="s">
        <v>18</v>
      </c>
      <c r="F70">
        <v>84</v>
      </c>
      <c r="G70">
        <v>97</v>
      </c>
      <c r="H70">
        <v>70</v>
      </c>
      <c r="I70">
        <v>96</v>
      </c>
      <c r="J70">
        <f t="shared" si="1"/>
        <v>140.75</v>
      </c>
      <c r="K70">
        <f>Table1[[#This Row],[Percentage]]/100*4</f>
        <v>5.63</v>
      </c>
      <c r="L70" t="str" cm="1">
        <f t="array" ref="L70">_xlfn.IFS(K70&gt;3.7,"A+",K70&gt;3.3,"A-",K70&gt;=2.8,"B+",K70&gt;2.3,"B-",K70&gt;=2,"C+",K70&gt;1.3,"C-",K70&gt;=1,"D+",K70&lt;=1,"F")</f>
        <v>A+</v>
      </c>
    </row>
    <row r="71" spans="1:12" x14ac:dyDescent="0.3">
      <c r="A71">
        <v>70</v>
      </c>
      <c r="B71" t="s">
        <v>83</v>
      </c>
      <c r="C71" t="s">
        <v>10</v>
      </c>
      <c r="D71">
        <v>14</v>
      </c>
      <c r="E71" t="s">
        <v>14</v>
      </c>
      <c r="F71">
        <v>34</v>
      </c>
      <c r="G71">
        <v>71</v>
      </c>
      <c r="H71">
        <v>35</v>
      </c>
      <c r="I71">
        <v>47</v>
      </c>
      <c r="J71">
        <f t="shared" si="1"/>
        <v>133.5</v>
      </c>
      <c r="K71">
        <f>Table1[[#This Row],[Percentage]]/100*4</f>
        <v>5.34</v>
      </c>
      <c r="L71" t="str" cm="1">
        <f t="array" ref="L71">_xlfn.IFS(K71&gt;3.7,"A+",K71&gt;3.3,"A-",K71&gt;=2.8,"B+",K71&gt;2.3,"B-",K71&gt;=2,"C+",K71&gt;1.3,"C-",K71&gt;=1,"D+",K71&lt;=1,"F")</f>
        <v>A+</v>
      </c>
    </row>
    <row r="72" spans="1:12" x14ac:dyDescent="0.3">
      <c r="A72">
        <v>71</v>
      </c>
      <c r="B72" t="s">
        <v>84</v>
      </c>
      <c r="C72" t="s">
        <v>10</v>
      </c>
      <c r="D72">
        <v>15</v>
      </c>
      <c r="E72" t="s">
        <v>11</v>
      </c>
      <c r="F72">
        <v>95</v>
      </c>
      <c r="G72">
        <v>32</v>
      </c>
      <c r="H72">
        <v>91</v>
      </c>
      <c r="I72">
        <v>48</v>
      </c>
      <c r="J72">
        <f t="shared" si="1"/>
        <v>113.25</v>
      </c>
      <c r="K72">
        <f>Table1[[#This Row],[Percentage]]/100*4</f>
        <v>4.53</v>
      </c>
      <c r="L72" t="str" cm="1">
        <f t="array" ref="L72">_xlfn.IFS(K72&gt;3.7,"A+",K72&gt;3.3,"A-",K72&gt;=2.8,"B+",K72&gt;2.3,"B-",K72&gt;=2,"C+",K72&gt;1.3,"C-",K72&gt;=1,"D+",K72&lt;=1,"F")</f>
        <v>A+</v>
      </c>
    </row>
    <row r="73" spans="1:12" x14ac:dyDescent="0.3">
      <c r="A73">
        <v>72</v>
      </c>
      <c r="B73" t="s">
        <v>85</v>
      </c>
      <c r="C73" t="s">
        <v>13</v>
      </c>
      <c r="D73">
        <v>14</v>
      </c>
      <c r="E73" t="s">
        <v>11</v>
      </c>
      <c r="F73">
        <v>48</v>
      </c>
      <c r="G73">
        <v>59</v>
      </c>
      <c r="H73">
        <v>60</v>
      </c>
      <c r="I73">
        <v>58</v>
      </c>
      <c r="J73">
        <f t="shared" si="1"/>
        <v>122.75</v>
      </c>
      <c r="K73">
        <f>Table1[[#This Row],[Percentage]]/100*4</f>
        <v>4.91</v>
      </c>
      <c r="L73" t="str" cm="1">
        <f t="array" ref="L73">_xlfn.IFS(K73&gt;3.7,"A+",K73&gt;3.3,"A-",K73&gt;=2.8,"B+",K73&gt;2.3,"B-",K73&gt;=2,"C+",K73&gt;1.3,"C-",K73&gt;=1,"D+",K73&lt;=1,"F")</f>
        <v>A+</v>
      </c>
    </row>
    <row r="74" spans="1:12" x14ac:dyDescent="0.3">
      <c r="A74">
        <v>73</v>
      </c>
      <c r="B74" t="s">
        <v>86</v>
      </c>
      <c r="C74" t="s">
        <v>13</v>
      </c>
      <c r="D74">
        <v>13</v>
      </c>
      <c r="E74" t="s">
        <v>18</v>
      </c>
      <c r="F74">
        <v>72</v>
      </c>
      <c r="G74">
        <v>78</v>
      </c>
      <c r="H74">
        <v>40</v>
      </c>
      <c r="I74">
        <v>78</v>
      </c>
      <c r="J74">
        <f t="shared" si="1"/>
        <v>123.25</v>
      </c>
      <c r="K74">
        <f>Table1[[#This Row],[Percentage]]/100*4</f>
        <v>4.93</v>
      </c>
      <c r="L74" t="str" cm="1">
        <f t="array" ref="L74">_xlfn.IFS(K74&gt;3.7,"A+",K74&gt;3.3,"A-",K74&gt;=2.8,"B+",K74&gt;2.3,"B-",K74&gt;=2,"C+",K74&gt;1.3,"C-",K74&gt;=1,"D+",K74&lt;=1,"F")</f>
        <v>A+</v>
      </c>
    </row>
    <row r="75" spans="1:12" x14ac:dyDescent="0.3">
      <c r="A75">
        <v>74</v>
      </c>
      <c r="B75" t="s">
        <v>87</v>
      </c>
      <c r="C75" t="s">
        <v>13</v>
      </c>
      <c r="D75">
        <v>13</v>
      </c>
      <c r="E75" t="s">
        <v>14</v>
      </c>
      <c r="F75">
        <v>46</v>
      </c>
      <c r="G75">
        <v>89</v>
      </c>
      <c r="H75">
        <v>83</v>
      </c>
      <c r="I75">
        <v>64</v>
      </c>
      <c r="J75">
        <f t="shared" si="1"/>
        <v>137.5</v>
      </c>
      <c r="K75">
        <f>Table1[[#This Row],[Percentage]]/100*4</f>
        <v>5.5</v>
      </c>
      <c r="L75" t="str" cm="1">
        <f t="array" ref="L75">_xlfn.IFS(K75&gt;3.7,"A+",K75&gt;3.3,"A-",K75&gt;=2.8,"B+",K75&gt;2.3,"B-",K75&gt;=2,"C+",K75&gt;1.3,"C-",K75&gt;=1,"D+",K75&lt;=1,"F")</f>
        <v>A+</v>
      </c>
    </row>
    <row r="76" spans="1:12" x14ac:dyDescent="0.3">
      <c r="A76">
        <v>75</v>
      </c>
      <c r="B76" t="s">
        <v>88</v>
      </c>
      <c r="C76" t="s">
        <v>10</v>
      </c>
      <c r="D76">
        <v>13</v>
      </c>
      <c r="E76" t="s">
        <v>14</v>
      </c>
      <c r="F76">
        <v>85</v>
      </c>
      <c r="G76">
        <v>10</v>
      </c>
      <c r="H76">
        <v>62</v>
      </c>
      <c r="I76">
        <v>62</v>
      </c>
      <c r="J76">
        <f t="shared" si="1"/>
        <v>125.25</v>
      </c>
      <c r="K76">
        <f>Table1[[#This Row],[Percentage]]/100*4</f>
        <v>5.01</v>
      </c>
      <c r="L76" t="str" cm="1">
        <f t="array" ref="L76">_xlfn.IFS(K76&gt;3.7,"A+",K76&gt;3.3,"A-",K76&gt;=2.8,"B+",K76&gt;2.3,"B-",K76&gt;=2,"C+",K76&gt;1.3,"C-",K76&gt;=1,"D+",K76&lt;=1,"F")</f>
        <v>A+</v>
      </c>
    </row>
    <row r="77" spans="1:12" x14ac:dyDescent="0.3">
      <c r="A77">
        <v>76</v>
      </c>
      <c r="B77" t="s">
        <v>89</v>
      </c>
      <c r="C77" t="s">
        <v>13</v>
      </c>
      <c r="D77">
        <v>15</v>
      </c>
      <c r="E77" t="s">
        <v>11</v>
      </c>
      <c r="F77">
        <v>32</v>
      </c>
      <c r="G77">
        <v>31</v>
      </c>
      <c r="H77">
        <v>89</v>
      </c>
      <c r="I77">
        <v>30</v>
      </c>
      <c r="J77">
        <f t="shared" si="1"/>
        <v>100.25</v>
      </c>
      <c r="K77">
        <f>Table1[[#This Row],[Percentage]]/100*4</f>
        <v>4.01</v>
      </c>
      <c r="L77" t="str" cm="1">
        <f t="array" ref="L77">_xlfn.IFS(K77&gt;3.7,"A+",K77&gt;3.3,"A-",K77&gt;=2.8,"B+",K77&gt;2.3,"B-",K77&gt;=2,"C+",K77&gt;1.3,"C-",K77&gt;=1,"D+",K77&lt;=1,"F")</f>
        <v>A+</v>
      </c>
    </row>
    <row r="78" spans="1:12" x14ac:dyDescent="0.3">
      <c r="A78">
        <v>77</v>
      </c>
      <c r="B78" t="s">
        <v>90</v>
      </c>
      <c r="C78" t="s">
        <v>10</v>
      </c>
      <c r="D78">
        <v>13</v>
      </c>
      <c r="E78" t="s">
        <v>14</v>
      </c>
      <c r="F78">
        <v>27</v>
      </c>
      <c r="G78">
        <v>2</v>
      </c>
      <c r="H78">
        <v>63</v>
      </c>
      <c r="I78">
        <v>100</v>
      </c>
      <c r="J78">
        <f t="shared" si="1"/>
        <v>93.5</v>
      </c>
      <c r="K78">
        <f>Table1[[#This Row],[Percentage]]/100*4</f>
        <v>3.74</v>
      </c>
      <c r="L78" t="str" cm="1">
        <f t="array" ref="L78">_xlfn.IFS(K78&gt;3.7,"A+",K78&gt;3.3,"A-",K78&gt;=2.8,"B+",K78&gt;2.3,"B-",K78&gt;=2,"C+",K78&gt;1.3,"C-",K78&gt;=1,"D+",K78&lt;=1,"F")</f>
        <v>A+</v>
      </c>
    </row>
    <row r="79" spans="1:12" x14ac:dyDescent="0.3">
      <c r="A79">
        <v>78</v>
      </c>
      <c r="B79" t="s">
        <v>91</v>
      </c>
      <c r="C79" t="s">
        <v>13</v>
      </c>
      <c r="D79">
        <v>15</v>
      </c>
      <c r="E79" t="s">
        <v>14</v>
      </c>
      <c r="F79">
        <v>87</v>
      </c>
      <c r="G79">
        <v>45</v>
      </c>
      <c r="H79">
        <v>73</v>
      </c>
      <c r="I79">
        <v>48</v>
      </c>
      <c r="J79">
        <f t="shared" si="1"/>
        <v>111.25</v>
      </c>
      <c r="K79">
        <f>Table1[[#This Row],[Percentage]]/100*4</f>
        <v>4.45</v>
      </c>
      <c r="L79" t="str" cm="1">
        <f t="array" ref="L79">_xlfn.IFS(K79&gt;3.7,"A+",K79&gt;3.3,"A-",K79&gt;=2.8,"B+",K79&gt;2.3,"B-",K79&gt;=2,"C+",K79&gt;1.3,"C-",K79&gt;=1,"D+",K79&lt;=1,"F")</f>
        <v>A+</v>
      </c>
    </row>
    <row r="80" spans="1:12" x14ac:dyDescent="0.3">
      <c r="A80">
        <v>79</v>
      </c>
      <c r="B80" t="s">
        <v>92</v>
      </c>
      <c r="C80" t="s">
        <v>13</v>
      </c>
      <c r="D80">
        <v>13</v>
      </c>
      <c r="E80" t="s">
        <v>11</v>
      </c>
      <c r="F80">
        <v>27</v>
      </c>
      <c r="G80">
        <v>96</v>
      </c>
      <c r="H80">
        <v>89</v>
      </c>
      <c r="I80">
        <v>49</v>
      </c>
      <c r="J80">
        <f t="shared" si="1"/>
        <v>128.5</v>
      </c>
      <c r="K80">
        <f>Table1[[#This Row],[Percentage]]/100*4</f>
        <v>5.14</v>
      </c>
      <c r="L80" t="str" cm="1">
        <f t="array" ref="L80">_xlfn.IFS(K80&gt;3.7,"A+",K80&gt;3.3,"A-",K80&gt;=2.8,"B+",K80&gt;2.3,"B-",K80&gt;=2,"C+",K80&gt;1.3,"C-",K80&gt;=1,"D+",K80&lt;=1,"F")</f>
        <v>A+</v>
      </c>
    </row>
    <row r="81" spans="1:12" x14ac:dyDescent="0.3">
      <c r="A81">
        <v>80</v>
      </c>
      <c r="B81" t="s">
        <v>93</v>
      </c>
      <c r="C81" t="s">
        <v>13</v>
      </c>
      <c r="D81">
        <v>13</v>
      </c>
      <c r="E81" t="s">
        <v>14</v>
      </c>
      <c r="F81">
        <v>13</v>
      </c>
      <c r="G81">
        <v>18</v>
      </c>
      <c r="H81">
        <v>80</v>
      </c>
      <c r="I81">
        <v>82</v>
      </c>
      <c r="J81">
        <f t="shared" si="1"/>
        <v>113.5</v>
      </c>
      <c r="K81">
        <f>Table1[[#This Row],[Percentage]]/100*4</f>
        <v>4.54</v>
      </c>
      <c r="L81" t="str" cm="1">
        <f t="array" ref="L81">_xlfn.IFS(K81&gt;3.7,"A+",K81&gt;3.3,"A-",K81&gt;=2.8,"B+",K81&gt;2.3,"B-",K81&gt;=2,"C+",K81&gt;1.3,"C-",K81&gt;=1,"D+",K81&lt;=1,"F")</f>
        <v>A+</v>
      </c>
    </row>
    <row r="82" spans="1:12" x14ac:dyDescent="0.3">
      <c r="A82">
        <v>81</v>
      </c>
      <c r="B82" t="s">
        <v>94</v>
      </c>
      <c r="C82" t="s">
        <v>13</v>
      </c>
      <c r="D82">
        <v>15</v>
      </c>
      <c r="E82" t="s">
        <v>18</v>
      </c>
      <c r="F82">
        <v>1</v>
      </c>
      <c r="G82">
        <v>90</v>
      </c>
      <c r="H82">
        <v>42</v>
      </c>
      <c r="I82">
        <v>94</v>
      </c>
      <c r="J82">
        <f t="shared" si="1"/>
        <v>105</v>
      </c>
      <c r="K82">
        <f>Table1[[#This Row],[Percentage]]/100*4</f>
        <v>4.2</v>
      </c>
      <c r="L82" t="str" cm="1">
        <f t="array" ref="L82">_xlfn.IFS(K82&gt;3.7,"A+",K82&gt;3.3,"A-",K82&gt;=2.8,"B+",K82&gt;2.3,"B-",K82&gt;=2,"C+",K82&gt;1.3,"C-",K82&gt;=1,"D+",K82&lt;=1,"F")</f>
        <v>A+</v>
      </c>
    </row>
    <row r="83" spans="1:12" x14ac:dyDescent="0.3">
      <c r="A83">
        <v>82</v>
      </c>
      <c r="B83" t="s">
        <v>95</v>
      </c>
      <c r="C83" t="s">
        <v>13</v>
      </c>
      <c r="D83">
        <v>15</v>
      </c>
      <c r="E83" t="s">
        <v>11</v>
      </c>
      <c r="F83">
        <v>84</v>
      </c>
      <c r="G83">
        <v>85</v>
      </c>
      <c r="H83">
        <v>14</v>
      </c>
      <c r="I83">
        <v>24</v>
      </c>
      <c r="J83">
        <f t="shared" si="1"/>
        <v>108.5</v>
      </c>
      <c r="K83">
        <f>Table1[[#This Row],[Percentage]]/100*4</f>
        <v>4.34</v>
      </c>
      <c r="L83" t="str" cm="1">
        <f t="array" ref="L83">_xlfn.IFS(K83&gt;3.7,"A+",K83&gt;3.3,"A-",K83&gt;=2.8,"B+",K83&gt;2.3,"B-",K83&gt;=2,"C+",K83&gt;1.3,"C-",K83&gt;=1,"D+",K83&lt;=1,"F")</f>
        <v>A+</v>
      </c>
    </row>
    <row r="84" spans="1:12" x14ac:dyDescent="0.3">
      <c r="A84">
        <v>83</v>
      </c>
      <c r="B84" t="s">
        <v>96</v>
      </c>
      <c r="C84" t="s">
        <v>13</v>
      </c>
      <c r="D84">
        <v>14</v>
      </c>
      <c r="E84" t="s">
        <v>18</v>
      </c>
      <c r="F84">
        <v>59</v>
      </c>
      <c r="G84">
        <v>12</v>
      </c>
      <c r="H84">
        <v>45</v>
      </c>
      <c r="I84">
        <v>64</v>
      </c>
      <c r="J84">
        <f t="shared" si="1"/>
        <v>96.75</v>
      </c>
      <c r="K84">
        <f>Table1[[#This Row],[Percentage]]/100*4</f>
        <v>3.87</v>
      </c>
      <c r="L84" t="str" cm="1">
        <f t="array" ref="L84">_xlfn.IFS(K84&gt;3.7,"A+",K84&gt;3.3,"A-",K84&gt;=2.8,"B+",K84&gt;2.3,"B-",K84&gt;=2,"C+",K84&gt;1.3,"C-",K84&gt;=1,"D+",K84&lt;=1,"F")</f>
        <v>A+</v>
      </c>
    </row>
    <row r="85" spans="1:12" x14ac:dyDescent="0.3">
      <c r="A85">
        <v>84</v>
      </c>
      <c r="B85" t="s">
        <v>97</v>
      </c>
      <c r="C85" t="s">
        <v>13</v>
      </c>
      <c r="D85">
        <v>13</v>
      </c>
      <c r="E85" t="s">
        <v>11</v>
      </c>
      <c r="F85">
        <v>34</v>
      </c>
      <c r="G85">
        <v>18</v>
      </c>
      <c r="H85">
        <v>39</v>
      </c>
      <c r="I85">
        <v>94</v>
      </c>
      <c r="J85">
        <f t="shared" si="1"/>
        <v>91.25</v>
      </c>
      <c r="K85">
        <f>Table1[[#This Row],[Percentage]]/100*4</f>
        <v>3.65</v>
      </c>
      <c r="L85" t="str" cm="1">
        <f t="array" ref="L85">_xlfn.IFS(K85&gt;3.7,"A+",K85&gt;3.3,"A-",K85&gt;=2.8,"B+",K85&gt;2.3,"B-",K85&gt;=2,"C+",K85&gt;1.3,"C-",K85&gt;=1,"D+",K85&lt;=1,"F")</f>
        <v>A-</v>
      </c>
    </row>
    <row r="86" spans="1:12" x14ac:dyDescent="0.3">
      <c r="A86">
        <v>85</v>
      </c>
      <c r="B86" t="s">
        <v>98</v>
      </c>
      <c r="C86" t="s">
        <v>10</v>
      </c>
      <c r="D86">
        <v>13</v>
      </c>
      <c r="E86" t="s">
        <v>11</v>
      </c>
      <c r="F86">
        <v>36</v>
      </c>
      <c r="G86">
        <v>95</v>
      </c>
      <c r="H86">
        <v>55</v>
      </c>
      <c r="I86">
        <v>46</v>
      </c>
      <c r="J86">
        <f t="shared" si="1"/>
        <v>104.25</v>
      </c>
      <c r="K86">
        <f>Table1[[#This Row],[Percentage]]/100*4</f>
        <v>4.17</v>
      </c>
      <c r="L86" t="str" cm="1">
        <f t="array" ref="L86">_xlfn.IFS(K86&gt;3.7,"A+",K86&gt;3.3,"A-",K86&gt;=2.8,"B+",K86&gt;2.3,"B-",K86&gt;=2,"C+",K86&gt;1.3,"C-",K86&gt;=1,"D+",K86&lt;=1,"F")</f>
        <v>A+</v>
      </c>
    </row>
    <row r="87" spans="1:12" x14ac:dyDescent="0.3">
      <c r="A87">
        <v>86</v>
      </c>
      <c r="B87" t="s">
        <v>99</v>
      </c>
      <c r="C87" t="s">
        <v>13</v>
      </c>
      <c r="D87">
        <v>15</v>
      </c>
      <c r="E87" t="s">
        <v>11</v>
      </c>
      <c r="F87">
        <v>17</v>
      </c>
      <c r="G87">
        <v>75</v>
      </c>
      <c r="H87">
        <v>8</v>
      </c>
      <c r="I87">
        <v>71</v>
      </c>
      <c r="J87">
        <f t="shared" si="1"/>
        <v>100.75</v>
      </c>
      <c r="K87">
        <f>Table1[[#This Row],[Percentage]]/100*4</f>
        <v>4.03</v>
      </c>
      <c r="L87" t="str" cm="1">
        <f t="array" ref="L87">_xlfn.IFS(K87&gt;3.7,"A+",K87&gt;3.3,"A-",K87&gt;=2.8,"B+",K87&gt;2.3,"B-",K87&gt;=2,"C+",K87&gt;1.3,"C-",K87&gt;=1,"D+",K87&lt;=1,"F")</f>
        <v>A+</v>
      </c>
    </row>
    <row r="88" spans="1:12" x14ac:dyDescent="0.3">
      <c r="A88">
        <v>87</v>
      </c>
      <c r="B88" t="s">
        <v>100</v>
      </c>
      <c r="C88" t="s">
        <v>10</v>
      </c>
      <c r="D88">
        <v>13</v>
      </c>
      <c r="E88" t="s">
        <v>18</v>
      </c>
      <c r="F88">
        <v>8</v>
      </c>
      <c r="G88">
        <v>72</v>
      </c>
      <c r="H88">
        <v>78</v>
      </c>
      <c r="I88">
        <v>14</v>
      </c>
      <c r="J88">
        <f t="shared" si="1"/>
        <v>85.75</v>
      </c>
      <c r="K88">
        <f>Table1[[#This Row],[Percentage]]/100*4</f>
        <v>3.43</v>
      </c>
      <c r="L88" t="str" cm="1">
        <f t="array" ref="L88">_xlfn.IFS(K88&gt;3.7,"A+",K88&gt;3.3,"A-",K88&gt;=2.8,"B+",K88&gt;2.3,"B-",K88&gt;=2,"C+",K88&gt;1.3,"C-",K88&gt;=1,"D+",K88&lt;=1,"F")</f>
        <v>A-</v>
      </c>
    </row>
    <row r="89" spans="1:12" x14ac:dyDescent="0.3">
      <c r="A89">
        <v>88</v>
      </c>
      <c r="B89" t="s">
        <v>101</v>
      </c>
      <c r="C89" t="s">
        <v>10</v>
      </c>
      <c r="D89">
        <v>15</v>
      </c>
      <c r="E89" t="s">
        <v>11</v>
      </c>
      <c r="F89">
        <v>44</v>
      </c>
      <c r="G89">
        <v>55</v>
      </c>
      <c r="H89">
        <v>51</v>
      </c>
      <c r="I89">
        <v>100</v>
      </c>
      <c r="J89">
        <f t="shared" si="1"/>
        <v>105.5</v>
      </c>
      <c r="K89">
        <f>Table1[[#This Row],[Percentage]]/100*4</f>
        <v>4.22</v>
      </c>
      <c r="L89" t="str" cm="1">
        <f t="array" ref="L89">_xlfn.IFS(K89&gt;3.7,"A+",K89&gt;3.3,"A-",K89&gt;=2.8,"B+",K89&gt;2.3,"B-",K89&gt;=2,"C+",K89&gt;1.3,"C-",K89&gt;=1,"D+",K89&lt;=1,"F")</f>
        <v>A+</v>
      </c>
    </row>
    <row r="90" spans="1:12" x14ac:dyDescent="0.3">
      <c r="A90">
        <v>89</v>
      </c>
      <c r="B90" t="s">
        <v>102</v>
      </c>
      <c r="C90" t="s">
        <v>10</v>
      </c>
      <c r="D90">
        <v>15</v>
      </c>
      <c r="E90" t="s">
        <v>18</v>
      </c>
      <c r="F90">
        <v>58</v>
      </c>
      <c r="G90">
        <v>16</v>
      </c>
      <c r="H90">
        <v>64</v>
      </c>
      <c r="I90">
        <v>67</v>
      </c>
      <c r="J90">
        <f t="shared" si="1"/>
        <v>113.75</v>
      </c>
      <c r="K90">
        <f>Table1[[#This Row],[Percentage]]/100*4</f>
        <v>4.55</v>
      </c>
      <c r="L90" t="str" cm="1">
        <f t="array" ref="L90">_xlfn.IFS(K90&gt;3.7,"A+",K90&gt;3.3,"A-",K90&gt;=2.8,"B+",K90&gt;2.3,"B-",K90&gt;=2,"C+",K90&gt;1.3,"C-",K90&gt;=1,"D+",K90&lt;=1,"F")</f>
        <v>A+</v>
      </c>
    </row>
    <row r="91" spans="1:12" x14ac:dyDescent="0.3">
      <c r="A91">
        <v>90</v>
      </c>
      <c r="B91" t="s">
        <v>103</v>
      </c>
      <c r="C91" t="s">
        <v>13</v>
      </c>
      <c r="D91">
        <v>15</v>
      </c>
      <c r="E91" t="s">
        <v>11</v>
      </c>
      <c r="F91">
        <v>64</v>
      </c>
      <c r="G91">
        <v>20</v>
      </c>
      <c r="H91">
        <v>86</v>
      </c>
      <c r="I91">
        <v>84</v>
      </c>
      <c r="J91">
        <f t="shared" si="1"/>
        <v>114.75</v>
      </c>
      <c r="K91">
        <f>Table1[[#This Row],[Percentage]]/100*4</f>
        <v>4.59</v>
      </c>
      <c r="L91" t="str" cm="1">
        <f t="array" ref="L91">_xlfn.IFS(K91&gt;3.7,"A+",K91&gt;3.3,"A-",K91&gt;=2.8,"B+",K91&gt;2.3,"B-",K91&gt;=2,"C+",K91&gt;1.3,"C-",K91&gt;=1,"D+",K91&lt;=1,"F")</f>
        <v>A+</v>
      </c>
    </row>
    <row r="92" spans="1:12" x14ac:dyDescent="0.3">
      <c r="A92">
        <v>91</v>
      </c>
      <c r="B92" t="s">
        <v>104</v>
      </c>
      <c r="C92" t="s">
        <v>13</v>
      </c>
      <c r="D92">
        <v>13</v>
      </c>
      <c r="E92" t="s">
        <v>11</v>
      </c>
      <c r="F92">
        <v>23</v>
      </c>
      <c r="G92">
        <v>2</v>
      </c>
      <c r="H92">
        <v>42</v>
      </c>
      <c r="I92">
        <v>43</v>
      </c>
      <c r="J92">
        <f t="shared" si="1"/>
        <v>91</v>
      </c>
      <c r="K92">
        <f>Table1[[#This Row],[Percentage]]/100*4</f>
        <v>3.64</v>
      </c>
      <c r="L92" t="str" cm="1">
        <f t="array" ref="L92">_xlfn.IFS(K92&gt;3.7,"A+",K92&gt;3.3,"A-",K92&gt;=2.8,"B+",K92&gt;2.3,"B-",K92&gt;=2,"C+",K92&gt;1.3,"C-",K92&gt;=1,"D+",K92&lt;=1,"F")</f>
        <v>A-</v>
      </c>
    </row>
    <row r="93" spans="1:12" x14ac:dyDescent="0.3">
      <c r="A93">
        <v>92</v>
      </c>
      <c r="B93" t="s">
        <v>105</v>
      </c>
      <c r="C93" t="s">
        <v>10</v>
      </c>
      <c r="D93">
        <v>15</v>
      </c>
      <c r="E93" t="s">
        <v>18</v>
      </c>
      <c r="F93">
        <v>79</v>
      </c>
      <c r="G93">
        <v>82</v>
      </c>
      <c r="H93">
        <v>99</v>
      </c>
      <c r="I93">
        <v>81</v>
      </c>
      <c r="J93">
        <f t="shared" si="1"/>
        <v>112.75</v>
      </c>
      <c r="K93">
        <f>Table1[[#This Row],[Percentage]]/100*4</f>
        <v>4.51</v>
      </c>
      <c r="L93" t="str" cm="1">
        <f t="array" ref="L93">_xlfn.IFS(K93&gt;3.7,"A+",K93&gt;3.3,"A-",K93&gt;=2.8,"B+",K93&gt;2.3,"B-",K93&gt;=2,"C+",K93&gt;1.3,"C-",K93&gt;=1,"D+",K93&lt;=1,"F")</f>
        <v>A+</v>
      </c>
    </row>
    <row r="94" spans="1:12" x14ac:dyDescent="0.3">
      <c r="A94">
        <v>93</v>
      </c>
      <c r="B94" t="s">
        <v>106</v>
      </c>
      <c r="C94" t="s">
        <v>10</v>
      </c>
      <c r="D94">
        <v>15</v>
      </c>
      <c r="E94" t="s">
        <v>18</v>
      </c>
      <c r="F94">
        <v>22</v>
      </c>
      <c r="G94">
        <v>86</v>
      </c>
      <c r="H94">
        <v>9</v>
      </c>
      <c r="I94">
        <v>38</v>
      </c>
      <c r="J94">
        <f t="shared" si="1"/>
        <v>124</v>
      </c>
      <c r="K94">
        <f>Table1[[#This Row],[Percentage]]/100*4</f>
        <v>4.96</v>
      </c>
      <c r="L94" t="str" cm="1">
        <f t="array" ref="L94">_xlfn.IFS(K94&gt;3.7,"A+",K94&gt;3.3,"A-",K94&gt;=2.8,"B+",K94&gt;2.3,"B-",K94&gt;=2,"C+",K94&gt;1.3,"C-",K94&gt;=1,"D+",K94&lt;=1,"F")</f>
        <v>A+</v>
      </c>
    </row>
    <row r="95" spans="1:12" x14ac:dyDescent="0.3">
      <c r="A95">
        <v>94</v>
      </c>
      <c r="B95" t="s">
        <v>107</v>
      </c>
      <c r="C95" t="s">
        <v>10</v>
      </c>
      <c r="D95">
        <v>13</v>
      </c>
      <c r="E95" t="s">
        <v>18</v>
      </c>
      <c r="F95">
        <v>43</v>
      </c>
      <c r="G95">
        <v>65</v>
      </c>
      <c r="H95">
        <v>18</v>
      </c>
      <c r="I95">
        <v>26</v>
      </c>
      <c r="J95">
        <f t="shared" si="1"/>
        <v>76.75</v>
      </c>
      <c r="K95">
        <f>Table1[[#This Row],[Percentage]]/100*4</f>
        <v>3.07</v>
      </c>
      <c r="L95" t="str" cm="1">
        <f t="array" ref="L95">_xlfn.IFS(K95&gt;3.7,"A+",K95&gt;3.3,"A-",K95&gt;=2.8,"B+",K95&gt;2.3,"B-",K95&gt;=2,"C+",K95&gt;1.3,"C-",K95&gt;=1,"D+",K95&lt;=1,"F")</f>
        <v>B+</v>
      </c>
    </row>
    <row r="96" spans="1:12" x14ac:dyDescent="0.3">
      <c r="A96">
        <v>95</v>
      </c>
      <c r="B96" t="s">
        <v>108</v>
      </c>
      <c r="C96" t="s">
        <v>13</v>
      </c>
      <c r="D96">
        <v>14</v>
      </c>
      <c r="E96" t="s">
        <v>18</v>
      </c>
      <c r="F96">
        <v>64</v>
      </c>
      <c r="G96">
        <v>18</v>
      </c>
      <c r="H96">
        <v>73</v>
      </c>
      <c r="I96">
        <v>37</v>
      </c>
      <c r="J96">
        <f t="shared" si="1"/>
        <v>86</v>
      </c>
      <c r="K96">
        <f>Table1[[#This Row],[Percentage]]/100*4</f>
        <v>3.44</v>
      </c>
      <c r="L96" t="str" cm="1">
        <f t="array" ref="L96">_xlfn.IFS(K96&gt;3.7,"A+",K96&gt;3.3,"A-",K96&gt;=2.8,"B+",K96&gt;2.3,"B-",K96&gt;=2,"C+",K96&gt;1.3,"C-",K96&gt;=1,"D+",K96&lt;=1,"F")</f>
        <v>A-</v>
      </c>
    </row>
    <row r="97" spans="1:12" x14ac:dyDescent="0.3">
      <c r="A97">
        <v>96</v>
      </c>
      <c r="B97" t="s">
        <v>109</v>
      </c>
      <c r="C97" t="s">
        <v>10</v>
      </c>
      <c r="D97">
        <v>15</v>
      </c>
      <c r="E97" t="s">
        <v>18</v>
      </c>
      <c r="F97">
        <v>58</v>
      </c>
      <c r="G97">
        <v>10</v>
      </c>
      <c r="H97">
        <v>99</v>
      </c>
      <c r="I97">
        <v>44</v>
      </c>
      <c r="J97">
        <f t="shared" si="1"/>
        <v>100.75</v>
      </c>
      <c r="K97">
        <f>Table1[[#This Row],[Percentage]]/100*4</f>
        <v>4.03</v>
      </c>
      <c r="L97" t="str" cm="1">
        <f t="array" ref="L97">_xlfn.IFS(K97&gt;3.7,"A+",K97&gt;3.3,"A-",K97&gt;=2.8,"B+",K97&gt;2.3,"B-",K97&gt;=2,"C+",K97&gt;1.3,"C-",K97&gt;=1,"D+",K97&lt;=1,"F")</f>
        <v>A+</v>
      </c>
    </row>
    <row r="98" spans="1:12" x14ac:dyDescent="0.3">
      <c r="A98">
        <v>97</v>
      </c>
      <c r="B98" t="s">
        <v>110</v>
      </c>
      <c r="C98" t="s">
        <v>13</v>
      </c>
      <c r="D98">
        <v>13</v>
      </c>
      <c r="E98" t="s">
        <v>18</v>
      </c>
      <c r="F98">
        <v>19</v>
      </c>
      <c r="G98">
        <v>98</v>
      </c>
      <c r="H98">
        <v>13</v>
      </c>
      <c r="I98">
        <v>86</v>
      </c>
      <c r="J98">
        <f t="shared" si="1"/>
        <v>106.74999999999999</v>
      </c>
      <c r="K98">
        <f>Table1[[#This Row],[Percentage]]/100*4</f>
        <v>4.2699999999999996</v>
      </c>
      <c r="L98" t="str" cm="1">
        <f t="array" ref="L98">_xlfn.IFS(K98&gt;3.7,"A+",K98&gt;3.3,"A-",K98&gt;=2.8,"B+",K98&gt;2.3,"B-",K98&gt;=2,"C+",K98&gt;1.3,"C-",K98&gt;=1,"D+",K98&lt;=1,"F")</f>
        <v>A+</v>
      </c>
    </row>
    <row r="99" spans="1:12" x14ac:dyDescent="0.3">
      <c r="A99">
        <v>98</v>
      </c>
      <c r="B99" t="s">
        <v>111</v>
      </c>
      <c r="C99" t="s">
        <v>13</v>
      </c>
      <c r="D99">
        <v>14</v>
      </c>
      <c r="E99" t="s">
        <v>18</v>
      </c>
      <c r="F99">
        <v>40</v>
      </c>
      <c r="G99">
        <v>61</v>
      </c>
      <c r="H99">
        <v>63</v>
      </c>
      <c r="I99">
        <v>80</v>
      </c>
      <c r="J99">
        <f t="shared" si="1"/>
        <v>114.99999999999999</v>
      </c>
      <c r="K99">
        <f>Table1[[#This Row],[Percentage]]/100*4</f>
        <v>4.5999999999999996</v>
      </c>
      <c r="L99" t="str" cm="1">
        <f t="array" ref="L99">_xlfn.IFS(K99&gt;3.7,"A+",K99&gt;3.3,"A-",K99&gt;=2.8,"B+",K99&gt;2.3,"B-",K99&gt;=2,"C+",K99&gt;1.3,"C-",K99&gt;=1,"D+",K99&lt;=1,"F")</f>
        <v>A+</v>
      </c>
    </row>
    <row r="100" spans="1:12" x14ac:dyDescent="0.3">
      <c r="A100">
        <v>99</v>
      </c>
      <c r="B100" t="s">
        <v>112</v>
      </c>
      <c r="C100" t="s">
        <v>13</v>
      </c>
      <c r="D100">
        <v>14</v>
      </c>
      <c r="E100" t="s">
        <v>11</v>
      </c>
      <c r="F100">
        <v>72</v>
      </c>
      <c r="G100">
        <v>51</v>
      </c>
      <c r="H100">
        <v>50</v>
      </c>
      <c r="I100">
        <v>11</v>
      </c>
      <c r="J100">
        <f t="shared" si="1"/>
        <v>107</v>
      </c>
      <c r="K100">
        <f>Table1[[#This Row],[Percentage]]/100*4</f>
        <v>4.28</v>
      </c>
      <c r="L100" t="str" cm="1">
        <f t="array" ref="L100">_xlfn.IFS(K100&gt;3.7,"A+",K100&gt;3.3,"A-",K100&gt;=2.8,"B+",K100&gt;2.3,"B-",K100&gt;=2,"C+",K100&gt;1.3,"C-",K100&gt;=1,"D+",K100&lt;=1,"F")</f>
        <v>A+</v>
      </c>
    </row>
    <row r="101" spans="1:12" x14ac:dyDescent="0.3">
      <c r="A101">
        <v>100</v>
      </c>
      <c r="B101" t="s">
        <v>113</v>
      </c>
      <c r="C101" t="s">
        <v>10</v>
      </c>
      <c r="D101">
        <v>15</v>
      </c>
      <c r="E101" t="s">
        <v>18</v>
      </c>
      <c r="F101">
        <v>66</v>
      </c>
      <c r="G101">
        <v>20</v>
      </c>
      <c r="H101">
        <v>76</v>
      </c>
      <c r="I101">
        <v>30</v>
      </c>
      <c r="J101">
        <f t="shared" si="1"/>
        <v>94</v>
      </c>
      <c r="K101">
        <f>Table1[[#This Row],[Percentage]]/100*4</f>
        <v>3.76</v>
      </c>
      <c r="L101" t="str" cm="1">
        <f t="array" ref="L101">_xlfn.IFS(K101&gt;3.7,"A+",K101&gt;3.3,"A-",K101&gt;=2.8,"B+",K101&gt;2.3,"B-",K101&gt;=2,"C+",K101&gt;1.3,"C-",K101&gt;=1,"D+",K101&lt;=1,"F")</f>
        <v>A+</v>
      </c>
    </row>
    <row r="102" spans="1:12" x14ac:dyDescent="0.3">
      <c r="A102">
        <v>101</v>
      </c>
      <c r="B102" t="s">
        <v>114</v>
      </c>
      <c r="C102" t="s">
        <v>13</v>
      </c>
      <c r="D102">
        <v>14</v>
      </c>
      <c r="E102" t="s">
        <v>18</v>
      </c>
      <c r="F102">
        <v>64</v>
      </c>
      <c r="G102">
        <v>68</v>
      </c>
      <c r="H102">
        <v>89</v>
      </c>
      <c r="I102">
        <v>43</v>
      </c>
      <c r="J102">
        <f t="shared" si="1"/>
        <v>113.99999999999999</v>
      </c>
      <c r="K102">
        <f>Table1[[#This Row],[Percentage]]/100*4</f>
        <v>4.5599999999999996</v>
      </c>
      <c r="L102" t="str" cm="1">
        <f t="array" ref="L102">_xlfn.IFS(K102&gt;3.7,"A+",K102&gt;3.3,"A-",K102&gt;=2.8,"B+",K102&gt;2.3,"B-",K102&gt;=2,"C+",K102&gt;1.3,"C-",K102&gt;=1,"D+",K102&lt;=1,"F")</f>
        <v>A+</v>
      </c>
    </row>
    <row r="103" spans="1:12" x14ac:dyDescent="0.3">
      <c r="A103">
        <v>102</v>
      </c>
      <c r="B103" t="s">
        <v>115</v>
      </c>
      <c r="C103" t="s">
        <v>10</v>
      </c>
      <c r="D103">
        <v>13</v>
      </c>
      <c r="E103" t="s">
        <v>14</v>
      </c>
      <c r="F103">
        <v>80</v>
      </c>
      <c r="G103">
        <v>28</v>
      </c>
      <c r="H103">
        <v>53</v>
      </c>
      <c r="I103">
        <v>67</v>
      </c>
      <c r="J103">
        <f t="shared" si="1"/>
        <v>123</v>
      </c>
      <c r="K103">
        <f>Table1[[#This Row],[Percentage]]/100*4</f>
        <v>4.92</v>
      </c>
      <c r="L103" t="str" cm="1">
        <f t="array" ref="L103">_xlfn.IFS(K103&gt;3.7,"A+",K103&gt;3.3,"A-",K103&gt;=2.8,"B+",K103&gt;2.3,"B-",K103&gt;=2,"C+",K103&gt;1.3,"C-",K103&gt;=1,"D+",K103&lt;=1,"F")</f>
        <v>A+</v>
      </c>
    </row>
    <row r="104" spans="1:12" x14ac:dyDescent="0.3">
      <c r="A104">
        <v>103</v>
      </c>
      <c r="B104" t="s">
        <v>116</v>
      </c>
      <c r="C104" t="s">
        <v>10</v>
      </c>
      <c r="D104">
        <v>13</v>
      </c>
      <c r="E104" t="s">
        <v>11</v>
      </c>
      <c r="F104">
        <v>2</v>
      </c>
      <c r="G104">
        <v>19</v>
      </c>
      <c r="H104">
        <v>48</v>
      </c>
      <c r="I104">
        <v>52</v>
      </c>
      <c r="J104">
        <f t="shared" si="1"/>
        <v>87.25</v>
      </c>
      <c r="K104">
        <f>Table1[[#This Row],[Percentage]]/100*4</f>
        <v>3.49</v>
      </c>
      <c r="L104" t="str" cm="1">
        <f t="array" ref="L104">_xlfn.IFS(K104&gt;3.7,"A+",K104&gt;3.3,"A-",K104&gt;=2.8,"B+",K104&gt;2.3,"B-",K104&gt;=2,"C+",K104&gt;1.3,"C-",K104&gt;=1,"D+",K104&lt;=1,"F")</f>
        <v>A-</v>
      </c>
    </row>
    <row r="105" spans="1:12" x14ac:dyDescent="0.3">
      <c r="A105">
        <v>104</v>
      </c>
      <c r="B105" t="s">
        <v>117</v>
      </c>
      <c r="C105" t="s">
        <v>13</v>
      </c>
      <c r="D105">
        <v>15</v>
      </c>
      <c r="E105" t="s">
        <v>18</v>
      </c>
      <c r="F105">
        <v>37</v>
      </c>
      <c r="G105">
        <v>57</v>
      </c>
      <c r="H105">
        <v>48</v>
      </c>
      <c r="I105">
        <v>75</v>
      </c>
      <c r="J105">
        <f t="shared" si="1"/>
        <v>84.5</v>
      </c>
      <c r="K105">
        <f>Table1[[#This Row],[Percentage]]/100*4</f>
        <v>3.38</v>
      </c>
      <c r="L105" t="str" cm="1">
        <f t="array" ref="L105">_xlfn.IFS(K105&gt;3.7,"A+",K105&gt;3.3,"A-",K105&gt;=2.8,"B+",K105&gt;2.3,"B-",K105&gt;=2,"C+",K105&gt;1.3,"C-",K105&gt;=1,"D+",K105&lt;=1,"F")</f>
        <v>A-</v>
      </c>
    </row>
    <row r="106" spans="1:12" x14ac:dyDescent="0.3">
      <c r="A106">
        <v>105</v>
      </c>
      <c r="B106" t="s">
        <v>118</v>
      </c>
      <c r="C106" t="s">
        <v>13</v>
      </c>
      <c r="D106">
        <v>13</v>
      </c>
      <c r="E106" t="s">
        <v>14</v>
      </c>
      <c r="F106">
        <v>68</v>
      </c>
      <c r="G106">
        <v>97</v>
      </c>
      <c r="H106">
        <v>31</v>
      </c>
      <c r="I106">
        <v>48</v>
      </c>
      <c r="J106">
        <f t="shared" si="1"/>
        <v>115.25000000000001</v>
      </c>
      <c r="K106">
        <f>Table1[[#This Row],[Percentage]]/100*4</f>
        <v>4.6100000000000003</v>
      </c>
      <c r="L106" t="str" cm="1">
        <f t="array" ref="L106">_xlfn.IFS(K106&gt;3.7,"A+",K106&gt;3.3,"A-",K106&gt;=2.8,"B+",K106&gt;2.3,"B-",K106&gt;=2,"C+",K106&gt;1.3,"C-",K106&gt;=1,"D+",K106&lt;=1,"F")</f>
        <v>A+</v>
      </c>
    </row>
    <row r="107" spans="1:12" x14ac:dyDescent="0.3">
      <c r="A107">
        <v>106</v>
      </c>
      <c r="B107" t="s">
        <v>119</v>
      </c>
      <c r="C107" t="s">
        <v>10</v>
      </c>
      <c r="D107">
        <v>14</v>
      </c>
      <c r="E107" t="s">
        <v>11</v>
      </c>
      <c r="F107">
        <v>62</v>
      </c>
      <c r="G107">
        <v>4</v>
      </c>
      <c r="H107">
        <v>75</v>
      </c>
      <c r="I107">
        <v>32</v>
      </c>
      <c r="J107">
        <f t="shared" si="1"/>
        <v>104.25</v>
      </c>
      <c r="K107">
        <f>Table1[[#This Row],[Percentage]]/100*4</f>
        <v>4.17</v>
      </c>
      <c r="L107" t="str" cm="1">
        <f t="array" ref="L107">_xlfn.IFS(K107&gt;3.7,"A+",K107&gt;3.3,"A-",K107&gt;=2.8,"B+",K107&gt;2.3,"B-",K107&gt;=2,"C+",K107&gt;1.3,"C-",K107&gt;=1,"D+",K107&lt;=1,"F")</f>
        <v>A+</v>
      </c>
    </row>
    <row r="108" spans="1:12" x14ac:dyDescent="0.3">
      <c r="A108">
        <v>107</v>
      </c>
      <c r="B108" t="s">
        <v>120</v>
      </c>
      <c r="C108" t="s">
        <v>10</v>
      </c>
      <c r="D108">
        <v>14</v>
      </c>
      <c r="E108" t="s">
        <v>11</v>
      </c>
      <c r="F108">
        <v>57</v>
      </c>
      <c r="G108">
        <v>68</v>
      </c>
      <c r="H108">
        <v>13</v>
      </c>
      <c r="I108">
        <v>74</v>
      </c>
      <c r="J108">
        <f t="shared" si="1"/>
        <v>96.25</v>
      </c>
      <c r="K108">
        <f>Table1[[#This Row],[Percentage]]/100*4</f>
        <v>3.85</v>
      </c>
      <c r="L108" t="str" cm="1">
        <f t="array" ref="L108">_xlfn.IFS(K108&gt;3.7,"A+",K108&gt;3.3,"A-",K108&gt;=2.8,"B+",K108&gt;2.3,"B-",K108&gt;=2,"C+",K108&gt;1.3,"C-",K108&gt;=1,"D+",K108&lt;=1,"F")</f>
        <v>A+</v>
      </c>
    </row>
    <row r="109" spans="1:12" x14ac:dyDescent="0.3">
      <c r="A109">
        <v>108</v>
      </c>
      <c r="B109" t="s">
        <v>121</v>
      </c>
      <c r="C109" t="s">
        <v>10</v>
      </c>
      <c r="D109">
        <v>14</v>
      </c>
      <c r="E109" t="s">
        <v>14</v>
      </c>
      <c r="F109">
        <v>56</v>
      </c>
      <c r="G109">
        <v>75</v>
      </c>
      <c r="H109">
        <v>5</v>
      </c>
      <c r="I109">
        <v>40</v>
      </c>
      <c r="J109">
        <f t="shared" si="1"/>
        <v>97</v>
      </c>
      <c r="K109">
        <f>Table1[[#This Row],[Percentage]]/100*4</f>
        <v>3.88</v>
      </c>
      <c r="L109" t="str" cm="1">
        <f t="array" ref="L109">_xlfn.IFS(K109&gt;3.7,"A+",K109&gt;3.3,"A-",K109&gt;=2.8,"B+",K109&gt;2.3,"B-",K109&gt;=2,"C+",K109&gt;1.3,"C-",K109&gt;=1,"D+",K109&lt;=1,"F")</f>
        <v>A+</v>
      </c>
    </row>
    <row r="110" spans="1:12" x14ac:dyDescent="0.3">
      <c r="A110">
        <v>109</v>
      </c>
      <c r="B110" t="s">
        <v>122</v>
      </c>
      <c r="C110" t="s">
        <v>13</v>
      </c>
      <c r="D110">
        <v>14</v>
      </c>
      <c r="E110" t="s">
        <v>11</v>
      </c>
      <c r="F110">
        <v>11</v>
      </c>
      <c r="G110">
        <v>30</v>
      </c>
      <c r="H110">
        <v>83</v>
      </c>
      <c r="I110">
        <v>17</v>
      </c>
      <c r="J110">
        <f t="shared" si="1"/>
        <v>79.25</v>
      </c>
      <c r="K110">
        <f>Table1[[#This Row],[Percentage]]/100*4</f>
        <v>3.17</v>
      </c>
      <c r="L110" t="str" cm="1">
        <f t="array" ref="L110">_xlfn.IFS(K110&gt;3.7,"A+",K110&gt;3.3,"A-",K110&gt;=2.8,"B+",K110&gt;2.3,"B-",K110&gt;=2,"C+",K110&gt;1.3,"C-",K110&gt;=1,"D+",K110&lt;=1,"F")</f>
        <v>B+</v>
      </c>
    </row>
    <row r="111" spans="1:12" x14ac:dyDescent="0.3">
      <c r="A111">
        <v>110</v>
      </c>
      <c r="B111" t="s">
        <v>123</v>
      </c>
      <c r="C111" t="s">
        <v>10</v>
      </c>
      <c r="D111">
        <v>14</v>
      </c>
      <c r="E111" t="s">
        <v>14</v>
      </c>
      <c r="F111">
        <v>82</v>
      </c>
      <c r="G111">
        <v>54</v>
      </c>
      <c r="H111">
        <v>31</v>
      </c>
      <c r="I111">
        <v>18</v>
      </c>
      <c r="J111">
        <f t="shared" si="1"/>
        <v>81.5</v>
      </c>
      <c r="K111">
        <f>Table1[[#This Row],[Percentage]]/100*4</f>
        <v>3.26</v>
      </c>
      <c r="L111" t="str" cm="1">
        <f t="array" ref="L111">_xlfn.IFS(K111&gt;3.7,"A+",K111&gt;3.3,"A-",K111&gt;=2.8,"B+",K111&gt;2.3,"B-",K111&gt;=2,"C+",K111&gt;1.3,"C-",K111&gt;=1,"D+",K111&lt;=1,"F")</f>
        <v>B+</v>
      </c>
    </row>
    <row r="112" spans="1:12" x14ac:dyDescent="0.3">
      <c r="A112">
        <v>111</v>
      </c>
      <c r="B112" t="s">
        <v>124</v>
      </c>
      <c r="C112" t="s">
        <v>13</v>
      </c>
      <c r="D112">
        <v>13</v>
      </c>
      <c r="E112" t="s">
        <v>18</v>
      </c>
      <c r="F112">
        <v>2</v>
      </c>
      <c r="G112">
        <v>39</v>
      </c>
      <c r="H112">
        <v>13</v>
      </c>
      <c r="I112">
        <v>69</v>
      </c>
      <c r="J112">
        <f t="shared" si="1"/>
        <v>77</v>
      </c>
      <c r="K112">
        <f>Table1[[#This Row],[Percentage]]/100*4</f>
        <v>3.08</v>
      </c>
      <c r="L112" t="str" cm="1">
        <f t="array" ref="L112">_xlfn.IFS(K112&gt;3.7,"A+",K112&gt;3.3,"A-",K112&gt;=2.8,"B+",K112&gt;2.3,"B-",K112&gt;=2,"C+",K112&gt;1.3,"C-",K112&gt;=1,"D+",K112&lt;=1,"F")</f>
        <v>B+</v>
      </c>
    </row>
    <row r="113" spans="1:12" x14ac:dyDescent="0.3">
      <c r="A113">
        <v>112</v>
      </c>
      <c r="B113" t="s">
        <v>125</v>
      </c>
      <c r="C113" t="s">
        <v>10</v>
      </c>
      <c r="D113">
        <v>15</v>
      </c>
      <c r="E113" t="s">
        <v>18</v>
      </c>
      <c r="F113">
        <v>23</v>
      </c>
      <c r="G113">
        <v>65</v>
      </c>
      <c r="H113">
        <v>72</v>
      </c>
      <c r="I113">
        <v>51</v>
      </c>
      <c r="J113">
        <f t="shared" si="1"/>
        <v>83.5</v>
      </c>
      <c r="K113">
        <f>Table1[[#This Row],[Percentage]]/100*4</f>
        <v>3.34</v>
      </c>
      <c r="L113" t="str" cm="1">
        <f t="array" ref="L113">_xlfn.IFS(K113&gt;3.7,"A+",K113&gt;3.3,"A-",K113&gt;=2.8,"B+",K113&gt;2.3,"B-",K113&gt;=2,"C+",K113&gt;1.3,"C-",K113&gt;=1,"D+",K113&lt;=1,"F")</f>
        <v>A-</v>
      </c>
    </row>
    <row r="114" spans="1:12" x14ac:dyDescent="0.3">
      <c r="A114">
        <v>113</v>
      </c>
      <c r="B114" t="s">
        <v>126</v>
      </c>
      <c r="C114" t="s">
        <v>13</v>
      </c>
      <c r="D114">
        <v>13</v>
      </c>
      <c r="E114" t="s">
        <v>11</v>
      </c>
      <c r="F114">
        <v>22</v>
      </c>
      <c r="G114">
        <v>78</v>
      </c>
      <c r="H114">
        <v>77</v>
      </c>
      <c r="I114">
        <v>26</v>
      </c>
      <c r="J114">
        <f t="shared" si="1"/>
        <v>103.49999999999999</v>
      </c>
      <c r="K114">
        <f>Table1[[#This Row],[Percentage]]/100*4</f>
        <v>4.1399999999999997</v>
      </c>
      <c r="L114" t="str" cm="1">
        <f t="array" ref="L114">_xlfn.IFS(K114&gt;3.7,"A+",K114&gt;3.3,"A-",K114&gt;=2.8,"B+",K114&gt;2.3,"B-",K114&gt;=2,"C+",K114&gt;1.3,"C-",K114&gt;=1,"D+",K114&lt;=1,"F")</f>
        <v>A+</v>
      </c>
    </row>
    <row r="115" spans="1:12" x14ac:dyDescent="0.3">
      <c r="A115">
        <v>114</v>
      </c>
      <c r="B115" t="s">
        <v>127</v>
      </c>
      <c r="C115" t="s">
        <v>13</v>
      </c>
      <c r="D115">
        <v>14</v>
      </c>
      <c r="E115" t="s">
        <v>18</v>
      </c>
      <c r="F115">
        <v>41</v>
      </c>
      <c r="G115">
        <v>52</v>
      </c>
      <c r="H115">
        <v>29</v>
      </c>
      <c r="I115">
        <v>21</v>
      </c>
      <c r="J115">
        <f t="shared" si="1"/>
        <v>86.5</v>
      </c>
      <c r="K115">
        <f>Table1[[#This Row],[Percentage]]/100*4</f>
        <v>3.46</v>
      </c>
      <c r="L115" t="str" cm="1">
        <f t="array" ref="L115">_xlfn.IFS(K115&gt;3.7,"A+",K115&gt;3.3,"A-",K115&gt;=2.8,"B+",K115&gt;2.3,"B-",K115&gt;=2,"C+",K115&gt;1.3,"C-",K115&gt;=1,"D+",K115&lt;=1,"F")</f>
        <v>A-</v>
      </c>
    </row>
    <row r="116" spans="1:12" x14ac:dyDescent="0.3">
      <c r="A116">
        <v>115</v>
      </c>
      <c r="B116" t="s">
        <v>128</v>
      </c>
      <c r="C116" t="s">
        <v>10</v>
      </c>
      <c r="D116">
        <v>13</v>
      </c>
      <c r="E116" t="s">
        <v>11</v>
      </c>
      <c r="F116">
        <v>23</v>
      </c>
      <c r="G116">
        <v>13</v>
      </c>
      <c r="H116">
        <v>28</v>
      </c>
      <c r="I116">
        <v>69</v>
      </c>
      <c r="J116">
        <f t="shared" si="1"/>
        <v>69</v>
      </c>
      <c r="K116">
        <f>Table1[[#This Row],[Percentage]]/100*4</f>
        <v>2.76</v>
      </c>
      <c r="L116" t="str" cm="1">
        <f t="array" ref="L116">_xlfn.IFS(K116&gt;3.7,"A+",K116&gt;3.3,"A-",K116&gt;=2.8,"B+",K116&gt;2.3,"B-",K116&gt;=2,"C+",K116&gt;1.3,"C-",K116&gt;=1,"D+",K116&lt;=1,"F")</f>
        <v>B-</v>
      </c>
    </row>
    <row r="117" spans="1:12" x14ac:dyDescent="0.3">
      <c r="A117">
        <v>116</v>
      </c>
      <c r="B117" t="s">
        <v>129</v>
      </c>
      <c r="C117" t="s">
        <v>13</v>
      </c>
      <c r="D117">
        <v>14</v>
      </c>
      <c r="E117" t="s">
        <v>18</v>
      </c>
      <c r="F117">
        <v>80</v>
      </c>
      <c r="G117">
        <v>92</v>
      </c>
      <c r="H117">
        <v>53</v>
      </c>
      <c r="I117">
        <v>30</v>
      </c>
      <c r="J117">
        <f t="shared" si="1"/>
        <v>97</v>
      </c>
      <c r="K117">
        <f>Table1[[#This Row],[Percentage]]/100*4</f>
        <v>3.88</v>
      </c>
      <c r="L117" t="str" cm="1">
        <f t="array" ref="L117">_xlfn.IFS(K117&gt;3.7,"A+",K117&gt;3.3,"A-",K117&gt;=2.8,"B+",K117&gt;2.3,"B-",K117&gt;=2,"C+",K117&gt;1.3,"C-",K117&gt;=1,"D+",K117&lt;=1,"F")</f>
        <v>A+</v>
      </c>
    </row>
    <row r="118" spans="1:12" x14ac:dyDescent="0.3">
      <c r="A118">
        <v>117</v>
      </c>
      <c r="B118" t="s">
        <v>130</v>
      </c>
      <c r="C118" t="s">
        <v>13</v>
      </c>
      <c r="D118">
        <v>14</v>
      </c>
      <c r="E118" t="s">
        <v>18</v>
      </c>
      <c r="F118">
        <v>63</v>
      </c>
      <c r="G118">
        <v>74</v>
      </c>
      <c r="H118">
        <v>46</v>
      </c>
      <c r="I118">
        <v>76</v>
      </c>
      <c r="J118">
        <f t="shared" si="1"/>
        <v>128.5</v>
      </c>
      <c r="K118">
        <f>Table1[[#This Row],[Percentage]]/100*4</f>
        <v>5.14</v>
      </c>
      <c r="L118" t="str" cm="1">
        <f t="array" ref="L118">_xlfn.IFS(K118&gt;3.7,"A+",K118&gt;3.3,"A-",K118&gt;=2.8,"B+",K118&gt;2.3,"B-",K118&gt;=2,"C+",K118&gt;1.3,"C-",K118&gt;=1,"D+",K118&lt;=1,"F")</f>
        <v>A+</v>
      </c>
    </row>
    <row r="119" spans="1:12" x14ac:dyDescent="0.3">
      <c r="A119">
        <v>118</v>
      </c>
      <c r="B119" t="s">
        <v>131</v>
      </c>
      <c r="C119" t="s">
        <v>10</v>
      </c>
      <c r="D119">
        <v>14</v>
      </c>
      <c r="E119" t="s">
        <v>14</v>
      </c>
      <c r="F119">
        <v>90</v>
      </c>
      <c r="G119">
        <v>22</v>
      </c>
      <c r="H119">
        <v>2</v>
      </c>
      <c r="I119">
        <v>12</v>
      </c>
      <c r="J119">
        <f t="shared" si="1"/>
        <v>96.25</v>
      </c>
      <c r="K119">
        <f>Table1[[#This Row],[Percentage]]/100*4</f>
        <v>3.85</v>
      </c>
      <c r="L119" t="str" cm="1">
        <f t="array" ref="L119">_xlfn.IFS(K119&gt;3.7,"A+",K119&gt;3.3,"A-",K119&gt;=2.8,"B+",K119&gt;2.3,"B-",K119&gt;=2,"C+",K119&gt;1.3,"C-",K119&gt;=1,"D+",K119&lt;=1,"F")</f>
        <v>A+</v>
      </c>
    </row>
    <row r="120" spans="1:12" x14ac:dyDescent="0.3">
      <c r="A120">
        <v>119</v>
      </c>
      <c r="B120" t="s">
        <v>132</v>
      </c>
      <c r="C120" t="s">
        <v>10</v>
      </c>
      <c r="D120">
        <v>13</v>
      </c>
      <c r="E120" t="s">
        <v>11</v>
      </c>
      <c r="F120">
        <v>2</v>
      </c>
      <c r="G120">
        <v>60</v>
      </c>
      <c r="H120">
        <v>67</v>
      </c>
      <c r="I120">
        <v>29</v>
      </c>
      <c r="J120">
        <f t="shared" si="1"/>
        <v>71</v>
      </c>
      <c r="K120">
        <f>Table1[[#This Row],[Percentage]]/100*4</f>
        <v>2.84</v>
      </c>
      <c r="L120" t="str" cm="1">
        <f t="array" ref="L120">_xlfn.IFS(K120&gt;3.7,"A+",K120&gt;3.3,"A-",K120&gt;=2.8,"B+",K120&gt;2.3,"B-",K120&gt;=2,"C+",K120&gt;1.3,"C-",K120&gt;=1,"D+",K120&lt;=1,"F")</f>
        <v>B+</v>
      </c>
    </row>
    <row r="121" spans="1:12" x14ac:dyDescent="0.3">
      <c r="A121">
        <v>120</v>
      </c>
      <c r="B121" t="s">
        <v>133</v>
      </c>
      <c r="C121" t="s">
        <v>13</v>
      </c>
      <c r="D121">
        <v>14</v>
      </c>
      <c r="E121" t="s">
        <v>18</v>
      </c>
      <c r="F121">
        <v>80</v>
      </c>
      <c r="G121">
        <v>34</v>
      </c>
      <c r="H121">
        <v>85</v>
      </c>
      <c r="I121">
        <v>71</v>
      </c>
      <c r="J121">
        <f t="shared" si="1"/>
        <v>107</v>
      </c>
      <c r="K121">
        <f>Table1[[#This Row],[Percentage]]/100*4</f>
        <v>4.28</v>
      </c>
      <c r="L121" t="str" cm="1">
        <f t="array" ref="L121">_xlfn.IFS(K121&gt;3.7,"A+",K121&gt;3.3,"A-",K121&gt;=2.8,"B+",K121&gt;2.3,"B-",K121&gt;=2,"C+",K121&gt;1.3,"C-",K121&gt;=1,"D+",K121&lt;=1,"F")</f>
        <v>A+</v>
      </c>
    </row>
    <row r="122" spans="1:12" x14ac:dyDescent="0.3">
      <c r="A122">
        <v>121</v>
      </c>
      <c r="B122" t="s">
        <v>134</v>
      </c>
      <c r="C122" t="s">
        <v>13</v>
      </c>
      <c r="D122">
        <v>13</v>
      </c>
      <c r="E122" t="s">
        <v>18</v>
      </c>
      <c r="F122">
        <v>79</v>
      </c>
      <c r="G122">
        <v>88</v>
      </c>
      <c r="H122">
        <v>96</v>
      </c>
      <c r="I122">
        <v>93</v>
      </c>
      <c r="J122">
        <f t="shared" si="1"/>
        <v>156.5</v>
      </c>
      <c r="K122">
        <f>Table1[[#This Row],[Percentage]]/100*4</f>
        <v>6.26</v>
      </c>
      <c r="L122" t="str" cm="1">
        <f t="array" ref="L122">_xlfn.IFS(K122&gt;3.7,"A+",K122&gt;3.3,"A-",K122&gt;=2.8,"B+",K122&gt;2.3,"B-",K122&gt;=2,"C+",K122&gt;1.3,"C-",K122&gt;=1,"D+",K122&lt;=1,"F")</f>
        <v>A+</v>
      </c>
    </row>
    <row r="123" spans="1:12" x14ac:dyDescent="0.3">
      <c r="A123">
        <v>122</v>
      </c>
      <c r="B123" t="s">
        <v>135</v>
      </c>
      <c r="C123" t="s">
        <v>13</v>
      </c>
      <c r="D123">
        <v>14</v>
      </c>
      <c r="E123" t="s">
        <v>11</v>
      </c>
      <c r="F123">
        <v>4</v>
      </c>
      <c r="G123">
        <v>37</v>
      </c>
      <c r="H123">
        <v>50</v>
      </c>
      <c r="I123">
        <v>47</v>
      </c>
      <c r="J123">
        <f t="shared" si="1"/>
        <v>123.50000000000001</v>
      </c>
      <c r="K123">
        <f>Table1[[#This Row],[Percentage]]/100*4</f>
        <v>4.9400000000000004</v>
      </c>
      <c r="L123" t="str" cm="1">
        <f t="array" ref="L123">_xlfn.IFS(K123&gt;3.7,"A+",K123&gt;3.3,"A-",K123&gt;=2.8,"B+",K123&gt;2.3,"B-",K123&gt;=2,"C+",K123&gt;1.3,"C-",K123&gt;=1,"D+",K123&lt;=1,"F")</f>
        <v>A+</v>
      </c>
    </row>
    <row r="124" spans="1:12" x14ac:dyDescent="0.3">
      <c r="A124">
        <v>123</v>
      </c>
      <c r="B124" t="s">
        <v>136</v>
      </c>
      <c r="C124" t="s">
        <v>13</v>
      </c>
      <c r="D124">
        <v>13</v>
      </c>
      <c r="E124" t="s">
        <v>18</v>
      </c>
      <c r="F124">
        <v>18</v>
      </c>
      <c r="G124">
        <v>100</v>
      </c>
      <c r="H124">
        <v>39</v>
      </c>
      <c r="I124">
        <v>8</v>
      </c>
      <c r="J124">
        <f t="shared" si="1"/>
        <v>75.75</v>
      </c>
      <c r="K124">
        <f>Table1[[#This Row],[Percentage]]/100*4</f>
        <v>3.03</v>
      </c>
      <c r="L124" t="str" cm="1">
        <f t="array" ref="L124">_xlfn.IFS(K124&gt;3.7,"A+",K124&gt;3.3,"A-",K124&gt;=2.8,"B+",K124&gt;2.3,"B-",K124&gt;=2,"C+",K124&gt;1.3,"C-",K124&gt;=1,"D+",K124&lt;=1,"F")</f>
        <v>B+</v>
      </c>
    </row>
    <row r="125" spans="1:12" x14ac:dyDescent="0.3">
      <c r="A125">
        <v>124</v>
      </c>
      <c r="B125" t="s">
        <v>137</v>
      </c>
      <c r="C125" t="s">
        <v>10</v>
      </c>
      <c r="D125">
        <v>15</v>
      </c>
      <c r="E125" t="s">
        <v>14</v>
      </c>
      <c r="F125">
        <v>70</v>
      </c>
      <c r="G125">
        <v>75</v>
      </c>
      <c r="H125">
        <v>21</v>
      </c>
      <c r="I125">
        <v>99</v>
      </c>
      <c r="J125">
        <f t="shared" si="1"/>
        <v>107.5</v>
      </c>
      <c r="K125">
        <f>Table1[[#This Row],[Percentage]]/100*4</f>
        <v>4.3</v>
      </c>
      <c r="L125" t="str" cm="1">
        <f t="array" ref="L125">_xlfn.IFS(K125&gt;3.7,"A+",K125&gt;3.3,"A-",K125&gt;=2.8,"B+",K125&gt;2.3,"B-",K125&gt;=2,"C+",K125&gt;1.3,"C-",K125&gt;=1,"D+",K125&lt;=1,"F")</f>
        <v>A+</v>
      </c>
    </row>
    <row r="126" spans="1:12" x14ac:dyDescent="0.3">
      <c r="A126">
        <v>125</v>
      </c>
      <c r="B126" t="s">
        <v>138</v>
      </c>
      <c r="C126" t="s">
        <v>13</v>
      </c>
      <c r="D126">
        <v>14</v>
      </c>
      <c r="E126" t="s">
        <v>14</v>
      </c>
      <c r="F126">
        <v>68</v>
      </c>
      <c r="G126">
        <v>20</v>
      </c>
      <c r="H126">
        <v>21</v>
      </c>
      <c r="I126">
        <v>81</v>
      </c>
      <c r="J126">
        <f t="shared" si="1"/>
        <v>113.75</v>
      </c>
      <c r="K126">
        <f>Table1[[#This Row],[Percentage]]/100*4</f>
        <v>4.55</v>
      </c>
      <c r="L126" t="str" cm="1">
        <f t="array" ref="L126">_xlfn.IFS(K126&gt;3.7,"A+",K126&gt;3.3,"A-",K126&gt;=2.8,"B+",K126&gt;2.3,"B-",K126&gt;=2,"C+",K126&gt;1.3,"C-",K126&gt;=1,"D+",K126&lt;=1,"F")</f>
        <v>A+</v>
      </c>
    </row>
    <row r="127" spans="1:12" x14ac:dyDescent="0.3">
      <c r="A127">
        <v>126</v>
      </c>
      <c r="B127" t="s">
        <v>139</v>
      </c>
      <c r="C127" t="s">
        <v>13</v>
      </c>
      <c r="D127">
        <v>15</v>
      </c>
      <c r="E127" t="s">
        <v>18</v>
      </c>
      <c r="F127">
        <v>29</v>
      </c>
      <c r="G127">
        <v>6</v>
      </c>
      <c r="H127">
        <v>43</v>
      </c>
      <c r="I127">
        <v>85</v>
      </c>
      <c r="J127">
        <f t="shared" si="1"/>
        <v>88.25</v>
      </c>
      <c r="K127">
        <f>Table1[[#This Row],[Percentage]]/100*4</f>
        <v>3.53</v>
      </c>
      <c r="L127" t="str" cm="1">
        <f t="array" ref="L127">_xlfn.IFS(K127&gt;3.7,"A+",K127&gt;3.3,"A-",K127&gt;=2.8,"B+",K127&gt;2.3,"B-",K127&gt;=2,"C+",K127&gt;1.3,"C-",K127&gt;=1,"D+",K127&lt;=1,"F")</f>
        <v>A-</v>
      </c>
    </row>
    <row r="128" spans="1:12" x14ac:dyDescent="0.3">
      <c r="A128">
        <v>127</v>
      </c>
      <c r="B128" t="s">
        <v>140</v>
      </c>
      <c r="C128" t="s">
        <v>13</v>
      </c>
      <c r="D128">
        <v>14</v>
      </c>
      <c r="E128" t="s">
        <v>14</v>
      </c>
      <c r="F128">
        <v>76</v>
      </c>
      <c r="G128">
        <v>36</v>
      </c>
      <c r="H128">
        <v>32</v>
      </c>
      <c r="I128">
        <v>47</v>
      </c>
      <c r="J128">
        <f t="shared" si="1"/>
        <v>88.5</v>
      </c>
      <c r="K128">
        <f>Table1[[#This Row],[Percentage]]/100*4</f>
        <v>3.54</v>
      </c>
      <c r="L128" t="str" cm="1">
        <f t="array" ref="L128">_xlfn.IFS(K128&gt;3.7,"A+",K128&gt;3.3,"A-",K128&gt;=2.8,"B+",K128&gt;2.3,"B-",K128&gt;=2,"C+",K128&gt;1.3,"C-",K128&gt;=1,"D+",K128&lt;=1,"F")</f>
        <v>A-</v>
      </c>
    </row>
    <row r="129" spans="1:12" x14ac:dyDescent="0.3">
      <c r="A129">
        <v>128</v>
      </c>
      <c r="B129" t="s">
        <v>141</v>
      </c>
      <c r="C129" t="s">
        <v>10</v>
      </c>
      <c r="D129">
        <v>14</v>
      </c>
      <c r="E129" t="s">
        <v>11</v>
      </c>
      <c r="F129">
        <v>3</v>
      </c>
      <c r="G129">
        <v>31</v>
      </c>
      <c r="H129">
        <v>34</v>
      </c>
      <c r="I129">
        <v>45</v>
      </c>
      <c r="J129">
        <f t="shared" si="1"/>
        <v>76</v>
      </c>
      <c r="K129">
        <f>Table1[[#This Row],[Percentage]]/100*4</f>
        <v>3.04</v>
      </c>
      <c r="L129" t="str" cm="1">
        <f t="array" ref="L129">_xlfn.IFS(K129&gt;3.7,"A+",K129&gt;3.3,"A-",K129&gt;=2.8,"B+",K129&gt;2.3,"B-",K129&gt;=2,"C+",K129&gt;1.3,"C-",K129&gt;=1,"D+",K129&lt;=1,"F")</f>
        <v>B+</v>
      </c>
    </row>
    <row r="130" spans="1:12" x14ac:dyDescent="0.3">
      <c r="A130">
        <v>129</v>
      </c>
      <c r="B130" t="s">
        <v>142</v>
      </c>
      <c r="C130" t="s">
        <v>10</v>
      </c>
      <c r="D130">
        <v>15</v>
      </c>
      <c r="E130" t="s">
        <v>14</v>
      </c>
      <c r="F130">
        <v>28</v>
      </c>
      <c r="G130">
        <v>94</v>
      </c>
      <c r="H130">
        <v>61</v>
      </c>
      <c r="I130">
        <v>72</v>
      </c>
      <c r="J130">
        <f t="shared" ref="J130:J193" si="2">SUM(F129:I130)/400*100</f>
        <v>92</v>
      </c>
      <c r="K130">
        <f>Table1[[#This Row],[Percentage]]/100*4</f>
        <v>3.68</v>
      </c>
      <c r="L130" t="str" cm="1">
        <f t="array" ref="L130">_xlfn.IFS(K130&gt;3.7,"A+",K130&gt;3.3,"A-",K130&gt;=2.8,"B+",K130&gt;2.3,"B-",K130&gt;=2,"C+",K130&gt;1.3,"C-",K130&gt;=1,"D+",K130&lt;=1,"F")</f>
        <v>A-</v>
      </c>
    </row>
    <row r="131" spans="1:12" x14ac:dyDescent="0.3">
      <c r="A131">
        <v>130</v>
      </c>
      <c r="B131" t="s">
        <v>143</v>
      </c>
      <c r="C131" t="s">
        <v>10</v>
      </c>
      <c r="D131">
        <v>13</v>
      </c>
      <c r="E131" t="s">
        <v>18</v>
      </c>
      <c r="F131">
        <v>23</v>
      </c>
      <c r="G131">
        <v>88</v>
      </c>
      <c r="H131">
        <v>90</v>
      </c>
      <c r="I131">
        <v>68</v>
      </c>
      <c r="J131">
        <f t="shared" si="2"/>
        <v>131</v>
      </c>
      <c r="K131">
        <f>Table1[[#This Row],[Percentage]]/100*4</f>
        <v>5.24</v>
      </c>
      <c r="L131" t="str" cm="1">
        <f t="array" ref="L131">_xlfn.IFS(K131&gt;3.7,"A+",K131&gt;3.3,"A-",K131&gt;=2.8,"B+",K131&gt;2.3,"B-",K131&gt;=2,"C+",K131&gt;1.3,"C-",K131&gt;=1,"D+",K131&lt;=1,"F")</f>
        <v>A+</v>
      </c>
    </row>
    <row r="132" spans="1:12" x14ac:dyDescent="0.3">
      <c r="A132">
        <v>131</v>
      </c>
      <c r="B132" t="s">
        <v>144</v>
      </c>
      <c r="C132" t="s">
        <v>10</v>
      </c>
      <c r="D132">
        <v>15</v>
      </c>
      <c r="E132" t="s">
        <v>14</v>
      </c>
      <c r="F132">
        <v>85</v>
      </c>
      <c r="G132">
        <v>30</v>
      </c>
      <c r="H132">
        <v>50</v>
      </c>
      <c r="I132">
        <v>2</v>
      </c>
      <c r="J132">
        <f t="shared" si="2"/>
        <v>109.00000000000001</v>
      </c>
      <c r="K132">
        <f>Table1[[#This Row],[Percentage]]/100*4</f>
        <v>4.3600000000000003</v>
      </c>
      <c r="L132" t="str" cm="1">
        <f t="array" ref="L132">_xlfn.IFS(K132&gt;3.7,"A+",K132&gt;3.3,"A-",K132&gt;=2.8,"B+",K132&gt;2.3,"B-",K132&gt;=2,"C+",K132&gt;1.3,"C-",K132&gt;=1,"D+",K132&lt;=1,"F")</f>
        <v>A+</v>
      </c>
    </row>
    <row r="133" spans="1:12" x14ac:dyDescent="0.3">
      <c r="A133">
        <v>132</v>
      </c>
      <c r="B133" t="s">
        <v>145</v>
      </c>
      <c r="C133" t="s">
        <v>13</v>
      </c>
      <c r="D133">
        <v>13</v>
      </c>
      <c r="E133" t="s">
        <v>11</v>
      </c>
      <c r="F133">
        <v>13</v>
      </c>
      <c r="G133">
        <v>73</v>
      </c>
      <c r="H133">
        <v>76</v>
      </c>
      <c r="I133">
        <v>95</v>
      </c>
      <c r="J133">
        <f t="shared" si="2"/>
        <v>106</v>
      </c>
      <c r="K133">
        <f>Table1[[#This Row],[Percentage]]/100*4</f>
        <v>4.24</v>
      </c>
      <c r="L133" t="str" cm="1">
        <f t="array" ref="L133">_xlfn.IFS(K133&gt;3.7,"A+",K133&gt;3.3,"A-",K133&gt;=2.8,"B+",K133&gt;2.3,"B-",K133&gt;=2,"C+",K133&gt;1.3,"C-",K133&gt;=1,"D+",K133&lt;=1,"F")</f>
        <v>A+</v>
      </c>
    </row>
    <row r="134" spans="1:12" x14ac:dyDescent="0.3">
      <c r="A134">
        <v>133</v>
      </c>
      <c r="B134" t="s">
        <v>146</v>
      </c>
      <c r="C134" t="s">
        <v>13</v>
      </c>
      <c r="D134">
        <v>15</v>
      </c>
      <c r="E134" t="s">
        <v>18</v>
      </c>
      <c r="F134">
        <v>19</v>
      </c>
      <c r="G134">
        <v>14</v>
      </c>
      <c r="H134">
        <v>43</v>
      </c>
      <c r="I134">
        <v>68</v>
      </c>
      <c r="J134">
        <f t="shared" si="2"/>
        <v>100.25</v>
      </c>
      <c r="K134">
        <f>Table1[[#This Row],[Percentage]]/100*4</f>
        <v>4.01</v>
      </c>
      <c r="L134" t="str" cm="1">
        <f t="array" ref="L134">_xlfn.IFS(K134&gt;3.7,"A+",K134&gt;3.3,"A-",K134&gt;=2.8,"B+",K134&gt;2.3,"B-",K134&gt;=2,"C+",K134&gt;1.3,"C-",K134&gt;=1,"D+",K134&lt;=1,"F")</f>
        <v>A+</v>
      </c>
    </row>
    <row r="135" spans="1:12" x14ac:dyDescent="0.3">
      <c r="A135">
        <v>134</v>
      </c>
      <c r="B135" t="s">
        <v>147</v>
      </c>
      <c r="C135" t="s">
        <v>10</v>
      </c>
      <c r="D135">
        <v>15</v>
      </c>
      <c r="E135" t="s">
        <v>11</v>
      </c>
      <c r="F135">
        <v>77</v>
      </c>
      <c r="G135">
        <v>25</v>
      </c>
      <c r="H135">
        <v>85</v>
      </c>
      <c r="I135">
        <v>26</v>
      </c>
      <c r="J135">
        <f t="shared" si="2"/>
        <v>89.25</v>
      </c>
      <c r="K135">
        <f>Table1[[#This Row],[Percentage]]/100*4</f>
        <v>3.57</v>
      </c>
      <c r="L135" t="str" cm="1">
        <f t="array" ref="L135">_xlfn.IFS(K135&gt;3.7,"A+",K135&gt;3.3,"A-",K135&gt;=2.8,"B+",K135&gt;2.3,"B-",K135&gt;=2,"C+",K135&gt;1.3,"C-",K135&gt;=1,"D+",K135&lt;=1,"F")</f>
        <v>A-</v>
      </c>
    </row>
    <row r="136" spans="1:12" x14ac:dyDescent="0.3">
      <c r="A136">
        <v>135</v>
      </c>
      <c r="B136" t="s">
        <v>148</v>
      </c>
      <c r="C136" t="s">
        <v>10</v>
      </c>
      <c r="D136">
        <v>13</v>
      </c>
      <c r="E136" t="s">
        <v>14</v>
      </c>
      <c r="F136">
        <v>96</v>
      </c>
      <c r="G136">
        <v>100</v>
      </c>
      <c r="H136">
        <v>42</v>
      </c>
      <c r="I136">
        <v>62</v>
      </c>
      <c r="J136">
        <f t="shared" si="2"/>
        <v>128.25</v>
      </c>
      <c r="K136">
        <f>Table1[[#This Row],[Percentage]]/100*4</f>
        <v>5.13</v>
      </c>
      <c r="L136" t="str" cm="1">
        <f t="array" ref="L136">_xlfn.IFS(K136&gt;3.7,"A+",K136&gt;3.3,"A-",K136&gt;=2.8,"B+",K136&gt;2.3,"B-",K136&gt;=2,"C+",K136&gt;1.3,"C-",K136&gt;=1,"D+",K136&lt;=1,"F")</f>
        <v>A+</v>
      </c>
    </row>
    <row r="137" spans="1:12" x14ac:dyDescent="0.3">
      <c r="A137">
        <v>136</v>
      </c>
      <c r="B137" t="s">
        <v>149</v>
      </c>
      <c r="C137" t="s">
        <v>10</v>
      </c>
      <c r="D137">
        <v>13</v>
      </c>
      <c r="E137" t="s">
        <v>11</v>
      </c>
      <c r="F137">
        <v>5</v>
      </c>
      <c r="G137">
        <v>10</v>
      </c>
      <c r="H137">
        <v>75</v>
      </c>
      <c r="I137">
        <v>38</v>
      </c>
      <c r="J137">
        <f t="shared" si="2"/>
        <v>107</v>
      </c>
      <c r="K137">
        <f>Table1[[#This Row],[Percentage]]/100*4</f>
        <v>4.28</v>
      </c>
      <c r="L137" t="str" cm="1">
        <f t="array" ref="L137">_xlfn.IFS(K137&gt;3.7,"A+",K137&gt;3.3,"A-",K137&gt;=2.8,"B+",K137&gt;2.3,"B-",K137&gt;=2,"C+",K137&gt;1.3,"C-",K137&gt;=1,"D+",K137&lt;=1,"F")</f>
        <v>A+</v>
      </c>
    </row>
    <row r="138" spans="1:12" x14ac:dyDescent="0.3">
      <c r="A138">
        <v>137</v>
      </c>
      <c r="B138" t="s">
        <v>150</v>
      </c>
      <c r="C138" t="s">
        <v>10</v>
      </c>
      <c r="D138">
        <v>15</v>
      </c>
      <c r="E138" t="s">
        <v>11</v>
      </c>
      <c r="F138">
        <v>52</v>
      </c>
      <c r="G138">
        <v>39</v>
      </c>
      <c r="H138">
        <v>37</v>
      </c>
      <c r="I138">
        <v>3</v>
      </c>
      <c r="J138">
        <f t="shared" si="2"/>
        <v>64.75</v>
      </c>
      <c r="K138">
        <f>Table1[[#This Row],[Percentage]]/100*4</f>
        <v>2.59</v>
      </c>
      <c r="L138" t="str" cm="1">
        <f t="array" ref="L138">_xlfn.IFS(K138&gt;3.7,"A+",K138&gt;3.3,"A-",K138&gt;=2.8,"B+",K138&gt;2.3,"B-",K138&gt;=2,"C+",K138&gt;1.3,"C-",K138&gt;=1,"D+",K138&lt;=1,"F")</f>
        <v>B-</v>
      </c>
    </row>
    <row r="139" spans="1:12" x14ac:dyDescent="0.3">
      <c r="A139">
        <v>138</v>
      </c>
      <c r="B139" t="s">
        <v>151</v>
      </c>
      <c r="C139" t="s">
        <v>13</v>
      </c>
      <c r="D139">
        <v>13</v>
      </c>
      <c r="E139" t="s">
        <v>11</v>
      </c>
      <c r="F139">
        <v>10</v>
      </c>
      <c r="G139">
        <v>29</v>
      </c>
      <c r="H139">
        <v>21</v>
      </c>
      <c r="I139">
        <v>13</v>
      </c>
      <c r="J139">
        <f t="shared" si="2"/>
        <v>51</v>
      </c>
      <c r="K139">
        <f>Table1[[#This Row],[Percentage]]/100*4</f>
        <v>2.04</v>
      </c>
      <c r="L139" t="str" cm="1">
        <f t="array" ref="L139">_xlfn.IFS(K139&gt;3.7,"A+",K139&gt;3.3,"A-",K139&gt;=2.8,"B+",K139&gt;2.3,"B-",K139&gt;=2,"C+",K139&gt;1.3,"C-",K139&gt;=1,"D+",K139&lt;=1,"F")</f>
        <v>C+</v>
      </c>
    </row>
    <row r="140" spans="1:12" x14ac:dyDescent="0.3">
      <c r="A140">
        <v>139</v>
      </c>
      <c r="B140" t="s">
        <v>152</v>
      </c>
      <c r="C140" t="s">
        <v>13</v>
      </c>
      <c r="D140">
        <v>13</v>
      </c>
      <c r="E140" t="s">
        <v>14</v>
      </c>
      <c r="F140">
        <v>52</v>
      </c>
      <c r="G140">
        <v>62</v>
      </c>
      <c r="H140">
        <v>44</v>
      </c>
      <c r="I140">
        <v>10</v>
      </c>
      <c r="J140">
        <f t="shared" si="2"/>
        <v>60.25</v>
      </c>
      <c r="K140">
        <f>Table1[[#This Row],[Percentage]]/100*4</f>
        <v>2.41</v>
      </c>
      <c r="L140" t="str" cm="1">
        <f t="array" ref="L140">_xlfn.IFS(K140&gt;3.7,"A+",K140&gt;3.3,"A-",K140&gt;=2.8,"B+",K140&gt;2.3,"B-",K140&gt;=2,"C+",K140&gt;1.3,"C-",K140&gt;=1,"D+",K140&lt;=1,"F")</f>
        <v>B-</v>
      </c>
    </row>
    <row r="141" spans="1:12" x14ac:dyDescent="0.3">
      <c r="A141">
        <v>140</v>
      </c>
      <c r="B141" t="s">
        <v>153</v>
      </c>
      <c r="C141" t="s">
        <v>10</v>
      </c>
      <c r="D141">
        <v>13</v>
      </c>
      <c r="E141" t="s">
        <v>14</v>
      </c>
      <c r="F141">
        <v>21</v>
      </c>
      <c r="G141">
        <v>65</v>
      </c>
      <c r="H141">
        <v>90</v>
      </c>
      <c r="I141">
        <v>4</v>
      </c>
      <c r="J141">
        <f t="shared" si="2"/>
        <v>87</v>
      </c>
      <c r="K141">
        <f>Table1[[#This Row],[Percentage]]/100*4</f>
        <v>3.48</v>
      </c>
      <c r="L141" t="str" cm="1">
        <f t="array" ref="L141">_xlfn.IFS(K141&gt;3.7,"A+",K141&gt;3.3,"A-",K141&gt;=2.8,"B+",K141&gt;2.3,"B-",K141&gt;=2,"C+",K141&gt;1.3,"C-",K141&gt;=1,"D+",K141&lt;=1,"F")</f>
        <v>A-</v>
      </c>
    </row>
    <row r="142" spans="1:12" x14ac:dyDescent="0.3">
      <c r="A142">
        <v>141</v>
      </c>
      <c r="B142" t="s">
        <v>154</v>
      </c>
      <c r="C142" t="s">
        <v>13</v>
      </c>
      <c r="D142">
        <v>15</v>
      </c>
      <c r="E142" t="s">
        <v>11</v>
      </c>
      <c r="F142">
        <v>52</v>
      </c>
      <c r="G142">
        <v>30</v>
      </c>
      <c r="H142">
        <v>14</v>
      </c>
      <c r="I142">
        <v>24</v>
      </c>
      <c r="J142">
        <f t="shared" si="2"/>
        <v>75</v>
      </c>
      <c r="K142">
        <f>Table1[[#This Row],[Percentage]]/100*4</f>
        <v>3</v>
      </c>
      <c r="L142" t="str" cm="1">
        <f t="array" ref="L142">_xlfn.IFS(K142&gt;3.7,"A+",K142&gt;3.3,"A-",K142&gt;=2.8,"B+",K142&gt;2.3,"B-",K142&gt;=2,"C+",K142&gt;1.3,"C-",K142&gt;=1,"D+",K142&lt;=1,"F")</f>
        <v>B+</v>
      </c>
    </row>
    <row r="143" spans="1:12" x14ac:dyDescent="0.3">
      <c r="A143">
        <v>142</v>
      </c>
      <c r="B143" t="s">
        <v>155</v>
      </c>
      <c r="C143" t="s">
        <v>10</v>
      </c>
      <c r="D143">
        <v>14</v>
      </c>
      <c r="E143" t="s">
        <v>14</v>
      </c>
      <c r="F143">
        <v>77</v>
      </c>
      <c r="G143">
        <v>79</v>
      </c>
      <c r="H143">
        <v>92</v>
      </c>
      <c r="I143">
        <v>36</v>
      </c>
      <c r="J143">
        <f t="shared" si="2"/>
        <v>101</v>
      </c>
      <c r="K143">
        <f>Table1[[#This Row],[Percentage]]/100*4</f>
        <v>4.04</v>
      </c>
      <c r="L143" t="str" cm="1">
        <f t="array" ref="L143">_xlfn.IFS(K143&gt;3.7,"A+",K143&gt;3.3,"A-",K143&gt;=2.8,"B+",K143&gt;2.3,"B-",K143&gt;=2,"C+",K143&gt;1.3,"C-",K143&gt;=1,"D+",K143&lt;=1,"F")</f>
        <v>A+</v>
      </c>
    </row>
    <row r="144" spans="1:12" x14ac:dyDescent="0.3">
      <c r="A144">
        <v>143</v>
      </c>
      <c r="B144" t="s">
        <v>156</v>
      </c>
      <c r="C144" t="s">
        <v>13</v>
      </c>
      <c r="D144">
        <v>13</v>
      </c>
      <c r="E144" t="s">
        <v>14</v>
      </c>
      <c r="F144">
        <v>5</v>
      </c>
      <c r="G144">
        <v>3</v>
      </c>
      <c r="H144">
        <v>97</v>
      </c>
      <c r="I144">
        <v>84</v>
      </c>
      <c r="J144">
        <f t="shared" si="2"/>
        <v>118.25000000000001</v>
      </c>
      <c r="K144">
        <f>Table1[[#This Row],[Percentage]]/100*4</f>
        <v>4.7300000000000004</v>
      </c>
      <c r="L144" t="str" cm="1">
        <f t="array" ref="L144">_xlfn.IFS(K144&gt;3.7,"A+",K144&gt;3.3,"A-",K144&gt;=2.8,"B+",K144&gt;2.3,"B-",K144&gt;=2,"C+",K144&gt;1.3,"C-",K144&gt;=1,"D+",K144&lt;=1,"F")</f>
        <v>A+</v>
      </c>
    </row>
    <row r="145" spans="1:12" x14ac:dyDescent="0.3">
      <c r="A145">
        <v>144</v>
      </c>
      <c r="B145" t="s">
        <v>157</v>
      </c>
      <c r="C145" t="s">
        <v>10</v>
      </c>
      <c r="D145">
        <v>13</v>
      </c>
      <c r="E145" t="s">
        <v>11</v>
      </c>
      <c r="F145">
        <v>63</v>
      </c>
      <c r="G145">
        <v>12</v>
      </c>
      <c r="H145">
        <v>69</v>
      </c>
      <c r="I145">
        <v>41</v>
      </c>
      <c r="J145">
        <f t="shared" si="2"/>
        <v>93.5</v>
      </c>
      <c r="K145">
        <f>Table1[[#This Row],[Percentage]]/100*4</f>
        <v>3.74</v>
      </c>
      <c r="L145" t="str" cm="1">
        <f t="array" ref="L145">_xlfn.IFS(K145&gt;3.7,"A+",K145&gt;3.3,"A-",K145&gt;=2.8,"B+",K145&gt;2.3,"B-",K145&gt;=2,"C+",K145&gt;1.3,"C-",K145&gt;=1,"D+",K145&lt;=1,"F")</f>
        <v>A+</v>
      </c>
    </row>
    <row r="146" spans="1:12" x14ac:dyDescent="0.3">
      <c r="A146">
        <v>145</v>
      </c>
      <c r="B146" t="s">
        <v>158</v>
      </c>
      <c r="C146" t="s">
        <v>13</v>
      </c>
      <c r="D146">
        <v>15</v>
      </c>
      <c r="E146" t="s">
        <v>18</v>
      </c>
      <c r="F146">
        <v>76</v>
      </c>
      <c r="G146">
        <v>53</v>
      </c>
      <c r="H146">
        <v>32</v>
      </c>
      <c r="I146">
        <v>69</v>
      </c>
      <c r="J146">
        <f t="shared" si="2"/>
        <v>103.75000000000001</v>
      </c>
      <c r="K146">
        <f>Table1[[#This Row],[Percentage]]/100*4</f>
        <v>4.1500000000000004</v>
      </c>
      <c r="L146" t="str" cm="1">
        <f t="array" ref="L146">_xlfn.IFS(K146&gt;3.7,"A+",K146&gt;3.3,"A-",K146&gt;=2.8,"B+",K146&gt;2.3,"B-",K146&gt;=2,"C+",K146&gt;1.3,"C-",K146&gt;=1,"D+",K146&lt;=1,"F")</f>
        <v>A+</v>
      </c>
    </row>
    <row r="147" spans="1:12" x14ac:dyDescent="0.3">
      <c r="A147">
        <v>146</v>
      </c>
      <c r="B147" t="s">
        <v>98</v>
      </c>
      <c r="C147" t="s">
        <v>10</v>
      </c>
      <c r="D147">
        <v>15</v>
      </c>
      <c r="E147" t="s">
        <v>14</v>
      </c>
      <c r="F147">
        <v>43</v>
      </c>
      <c r="G147">
        <v>4</v>
      </c>
      <c r="H147">
        <v>40</v>
      </c>
      <c r="I147">
        <v>93</v>
      </c>
      <c r="J147">
        <f t="shared" si="2"/>
        <v>102.49999999999999</v>
      </c>
      <c r="K147">
        <f>Table1[[#This Row],[Percentage]]/100*4</f>
        <v>4.0999999999999996</v>
      </c>
      <c r="L147" t="str" cm="1">
        <f t="array" ref="L147">_xlfn.IFS(K147&gt;3.7,"A+",K147&gt;3.3,"A-",K147&gt;=2.8,"B+",K147&gt;2.3,"B-",K147&gt;=2,"C+",K147&gt;1.3,"C-",K147&gt;=1,"D+",K147&lt;=1,"F")</f>
        <v>A+</v>
      </c>
    </row>
    <row r="148" spans="1:12" x14ac:dyDescent="0.3">
      <c r="A148">
        <v>147</v>
      </c>
      <c r="B148" t="s">
        <v>159</v>
      </c>
      <c r="C148" t="s">
        <v>13</v>
      </c>
      <c r="D148">
        <v>15</v>
      </c>
      <c r="E148" t="s">
        <v>11</v>
      </c>
      <c r="F148">
        <v>33</v>
      </c>
      <c r="G148">
        <v>75</v>
      </c>
      <c r="H148">
        <v>98</v>
      </c>
      <c r="I148">
        <v>84</v>
      </c>
      <c r="J148">
        <f t="shared" si="2"/>
        <v>117.5</v>
      </c>
      <c r="K148">
        <f>Table1[[#This Row],[Percentage]]/100*4</f>
        <v>4.7</v>
      </c>
      <c r="L148" t="str" cm="1">
        <f t="array" ref="L148">_xlfn.IFS(K148&gt;3.7,"A+",K148&gt;3.3,"A-",K148&gt;=2.8,"B+",K148&gt;2.3,"B-",K148&gt;=2,"C+",K148&gt;1.3,"C-",K148&gt;=1,"D+",K148&lt;=1,"F")</f>
        <v>A+</v>
      </c>
    </row>
    <row r="149" spans="1:12" x14ac:dyDescent="0.3">
      <c r="A149">
        <v>148</v>
      </c>
      <c r="B149" t="s">
        <v>160</v>
      </c>
      <c r="C149" t="s">
        <v>10</v>
      </c>
      <c r="D149">
        <v>13</v>
      </c>
      <c r="E149" t="s">
        <v>14</v>
      </c>
      <c r="F149">
        <v>92</v>
      </c>
      <c r="G149">
        <v>67</v>
      </c>
      <c r="H149">
        <v>13</v>
      </c>
      <c r="I149">
        <v>25</v>
      </c>
      <c r="J149">
        <f t="shared" si="2"/>
        <v>121.75</v>
      </c>
      <c r="K149">
        <f>Table1[[#This Row],[Percentage]]/100*4</f>
        <v>4.87</v>
      </c>
      <c r="L149" t="str" cm="1">
        <f t="array" ref="L149">_xlfn.IFS(K149&gt;3.7,"A+",K149&gt;3.3,"A-",K149&gt;=2.8,"B+",K149&gt;2.3,"B-",K149&gt;=2,"C+",K149&gt;1.3,"C-",K149&gt;=1,"D+",K149&lt;=1,"F")</f>
        <v>A+</v>
      </c>
    </row>
    <row r="150" spans="1:12" x14ac:dyDescent="0.3">
      <c r="A150">
        <v>149</v>
      </c>
      <c r="B150" t="s">
        <v>161</v>
      </c>
      <c r="C150" t="s">
        <v>10</v>
      </c>
      <c r="D150">
        <v>15</v>
      </c>
      <c r="E150" t="s">
        <v>11</v>
      </c>
      <c r="F150">
        <v>51</v>
      </c>
      <c r="G150">
        <v>67</v>
      </c>
      <c r="H150">
        <v>67</v>
      </c>
      <c r="I150">
        <v>91</v>
      </c>
      <c r="J150">
        <f t="shared" si="2"/>
        <v>118.25000000000001</v>
      </c>
      <c r="K150">
        <f>Table1[[#This Row],[Percentage]]/100*4</f>
        <v>4.7300000000000004</v>
      </c>
      <c r="L150" t="str" cm="1">
        <f t="array" ref="L150">_xlfn.IFS(K150&gt;3.7,"A+",K150&gt;3.3,"A-",K150&gt;=2.8,"B+",K150&gt;2.3,"B-",K150&gt;=2,"C+",K150&gt;1.3,"C-",K150&gt;=1,"D+",K150&lt;=1,"F")</f>
        <v>A+</v>
      </c>
    </row>
    <row r="151" spans="1:12" x14ac:dyDescent="0.3">
      <c r="A151">
        <v>150</v>
      </c>
      <c r="B151" t="s">
        <v>162</v>
      </c>
      <c r="C151" t="s">
        <v>10</v>
      </c>
      <c r="D151">
        <v>13</v>
      </c>
      <c r="E151" t="s">
        <v>14</v>
      </c>
      <c r="F151">
        <v>53</v>
      </c>
      <c r="G151">
        <v>95</v>
      </c>
      <c r="H151">
        <v>75</v>
      </c>
      <c r="I151">
        <v>81</v>
      </c>
      <c r="J151">
        <f t="shared" si="2"/>
        <v>145</v>
      </c>
      <c r="K151">
        <f>Table1[[#This Row],[Percentage]]/100*4</f>
        <v>5.8</v>
      </c>
      <c r="L151" t="str" cm="1">
        <f t="array" ref="L151">_xlfn.IFS(K151&gt;3.7,"A+",K151&gt;3.3,"A-",K151&gt;=2.8,"B+",K151&gt;2.3,"B-",K151&gt;=2,"C+",K151&gt;1.3,"C-",K151&gt;=1,"D+",K151&lt;=1,"F")</f>
        <v>A+</v>
      </c>
    </row>
    <row r="152" spans="1:12" x14ac:dyDescent="0.3">
      <c r="A152">
        <v>151</v>
      </c>
      <c r="B152" t="s">
        <v>163</v>
      </c>
      <c r="C152" t="s">
        <v>13</v>
      </c>
      <c r="D152">
        <v>13</v>
      </c>
      <c r="E152" t="s">
        <v>18</v>
      </c>
      <c r="F152">
        <v>92</v>
      </c>
      <c r="G152">
        <v>97</v>
      </c>
      <c r="H152">
        <v>62</v>
      </c>
      <c r="I152">
        <v>69</v>
      </c>
      <c r="J152">
        <f t="shared" si="2"/>
        <v>156</v>
      </c>
      <c r="K152">
        <f>Table1[[#This Row],[Percentage]]/100*4</f>
        <v>6.24</v>
      </c>
      <c r="L152" t="str" cm="1">
        <f t="array" ref="L152">_xlfn.IFS(K152&gt;3.7,"A+",K152&gt;3.3,"A-",K152&gt;=2.8,"B+",K152&gt;2.3,"B-",K152&gt;=2,"C+",K152&gt;1.3,"C-",K152&gt;=1,"D+",K152&lt;=1,"F")</f>
        <v>A+</v>
      </c>
    </row>
    <row r="153" spans="1:12" x14ac:dyDescent="0.3">
      <c r="A153">
        <v>152</v>
      </c>
      <c r="B153" t="s">
        <v>164</v>
      </c>
      <c r="C153" t="s">
        <v>10</v>
      </c>
      <c r="D153">
        <v>15</v>
      </c>
      <c r="E153" t="s">
        <v>18</v>
      </c>
      <c r="F153">
        <v>26</v>
      </c>
      <c r="G153">
        <v>76</v>
      </c>
      <c r="H153">
        <v>56</v>
      </c>
      <c r="I153">
        <v>75</v>
      </c>
      <c r="J153">
        <f t="shared" si="2"/>
        <v>138.25</v>
      </c>
      <c r="K153">
        <f>Table1[[#This Row],[Percentage]]/100*4</f>
        <v>5.53</v>
      </c>
      <c r="L153" t="str" cm="1">
        <f t="array" ref="L153">_xlfn.IFS(K153&gt;3.7,"A+",K153&gt;3.3,"A-",K153&gt;=2.8,"B+",K153&gt;2.3,"B-",K153&gt;=2,"C+",K153&gt;1.3,"C-",K153&gt;=1,"D+",K153&lt;=1,"F")</f>
        <v>A+</v>
      </c>
    </row>
    <row r="154" spans="1:12" x14ac:dyDescent="0.3">
      <c r="A154">
        <v>153</v>
      </c>
      <c r="B154" t="s">
        <v>165</v>
      </c>
      <c r="C154" t="s">
        <v>13</v>
      </c>
      <c r="D154">
        <v>13</v>
      </c>
      <c r="E154" t="s">
        <v>18</v>
      </c>
      <c r="F154">
        <v>23</v>
      </c>
      <c r="G154">
        <v>41</v>
      </c>
      <c r="H154">
        <v>49</v>
      </c>
      <c r="I154">
        <v>79</v>
      </c>
      <c r="J154">
        <f t="shared" si="2"/>
        <v>106.25</v>
      </c>
      <c r="K154">
        <f>Table1[[#This Row],[Percentage]]/100*4</f>
        <v>4.25</v>
      </c>
      <c r="L154" t="str" cm="1">
        <f t="array" ref="L154">_xlfn.IFS(K154&gt;3.7,"A+",K154&gt;3.3,"A-",K154&gt;=2.8,"B+",K154&gt;2.3,"B-",K154&gt;=2,"C+",K154&gt;1.3,"C-",K154&gt;=1,"D+",K154&lt;=1,"F")</f>
        <v>A+</v>
      </c>
    </row>
    <row r="155" spans="1:12" x14ac:dyDescent="0.3">
      <c r="A155">
        <v>154</v>
      </c>
      <c r="B155" t="s">
        <v>166</v>
      </c>
      <c r="C155" t="s">
        <v>10</v>
      </c>
      <c r="D155">
        <v>14</v>
      </c>
      <c r="E155" t="s">
        <v>18</v>
      </c>
      <c r="F155">
        <v>47</v>
      </c>
      <c r="G155">
        <v>16</v>
      </c>
      <c r="H155">
        <v>55</v>
      </c>
      <c r="I155">
        <v>21</v>
      </c>
      <c r="J155">
        <f t="shared" si="2"/>
        <v>82.75</v>
      </c>
      <c r="K155">
        <f>Table1[[#This Row],[Percentage]]/100*4</f>
        <v>3.31</v>
      </c>
      <c r="L155" t="str" cm="1">
        <f t="array" ref="L155">_xlfn.IFS(K155&gt;3.7,"A+",K155&gt;3.3,"A-",K155&gt;=2.8,"B+",K155&gt;2.3,"B-",K155&gt;=2,"C+",K155&gt;1.3,"C-",K155&gt;=1,"D+",K155&lt;=1,"F")</f>
        <v>A-</v>
      </c>
    </row>
    <row r="156" spans="1:12" x14ac:dyDescent="0.3">
      <c r="A156">
        <v>155</v>
      </c>
      <c r="B156" t="s">
        <v>167</v>
      </c>
      <c r="C156" t="s">
        <v>13</v>
      </c>
      <c r="D156">
        <v>14</v>
      </c>
      <c r="E156" t="s">
        <v>11</v>
      </c>
      <c r="F156">
        <v>32</v>
      </c>
      <c r="G156">
        <v>3</v>
      </c>
      <c r="H156">
        <v>69</v>
      </c>
      <c r="I156">
        <v>96</v>
      </c>
      <c r="J156">
        <f t="shared" si="2"/>
        <v>84.75</v>
      </c>
      <c r="K156">
        <f>Table1[[#This Row],[Percentage]]/100*4</f>
        <v>3.39</v>
      </c>
      <c r="L156" t="str" cm="1">
        <f t="array" ref="L156">_xlfn.IFS(K156&gt;3.7,"A+",K156&gt;3.3,"A-",K156&gt;=2.8,"B+",K156&gt;2.3,"B-",K156&gt;=2,"C+",K156&gt;1.3,"C-",K156&gt;=1,"D+",K156&lt;=1,"F")</f>
        <v>A-</v>
      </c>
    </row>
    <row r="157" spans="1:12" x14ac:dyDescent="0.3">
      <c r="A157">
        <v>156</v>
      </c>
      <c r="B157" t="s">
        <v>168</v>
      </c>
      <c r="C157" t="s">
        <v>10</v>
      </c>
      <c r="D157">
        <v>13</v>
      </c>
      <c r="E157" t="s">
        <v>14</v>
      </c>
      <c r="F157">
        <v>55</v>
      </c>
      <c r="G157">
        <v>99</v>
      </c>
      <c r="H157">
        <v>8</v>
      </c>
      <c r="I157">
        <v>72</v>
      </c>
      <c r="J157">
        <f t="shared" si="2"/>
        <v>108.5</v>
      </c>
      <c r="K157">
        <f>Table1[[#This Row],[Percentage]]/100*4</f>
        <v>4.34</v>
      </c>
      <c r="L157" t="str" cm="1">
        <f t="array" ref="L157">_xlfn.IFS(K157&gt;3.7,"A+",K157&gt;3.3,"A-",K157&gt;=2.8,"B+",K157&gt;2.3,"B-",K157&gt;=2,"C+",K157&gt;1.3,"C-",K157&gt;=1,"D+",K157&lt;=1,"F")</f>
        <v>A+</v>
      </c>
    </row>
    <row r="158" spans="1:12" x14ac:dyDescent="0.3">
      <c r="A158">
        <v>157</v>
      </c>
      <c r="B158" t="s">
        <v>169</v>
      </c>
      <c r="C158" t="s">
        <v>13</v>
      </c>
      <c r="D158">
        <v>15</v>
      </c>
      <c r="E158" t="s">
        <v>11</v>
      </c>
      <c r="F158">
        <v>67</v>
      </c>
      <c r="G158">
        <v>88</v>
      </c>
      <c r="H158">
        <v>41</v>
      </c>
      <c r="I158">
        <v>8</v>
      </c>
      <c r="J158">
        <f t="shared" si="2"/>
        <v>109.5</v>
      </c>
      <c r="K158">
        <f>Table1[[#This Row],[Percentage]]/100*4</f>
        <v>4.38</v>
      </c>
      <c r="L158" t="str" cm="1">
        <f t="array" ref="L158">_xlfn.IFS(K158&gt;3.7,"A+",K158&gt;3.3,"A-",K158&gt;=2.8,"B+",K158&gt;2.3,"B-",K158&gt;=2,"C+",K158&gt;1.3,"C-",K158&gt;=1,"D+",K158&lt;=1,"F")</f>
        <v>A+</v>
      </c>
    </row>
    <row r="159" spans="1:12" x14ac:dyDescent="0.3">
      <c r="A159">
        <v>158</v>
      </c>
      <c r="B159" t="s">
        <v>170</v>
      </c>
      <c r="C159" t="s">
        <v>10</v>
      </c>
      <c r="D159">
        <v>13</v>
      </c>
      <c r="E159" t="s">
        <v>11</v>
      </c>
      <c r="F159">
        <v>72</v>
      </c>
      <c r="G159">
        <v>24</v>
      </c>
      <c r="H159">
        <v>83</v>
      </c>
      <c r="I159">
        <v>62</v>
      </c>
      <c r="J159">
        <f t="shared" si="2"/>
        <v>111.25</v>
      </c>
      <c r="K159">
        <f>Table1[[#This Row],[Percentage]]/100*4</f>
        <v>4.45</v>
      </c>
      <c r="L159" t="str" cm="1">
        <f t="array" ref="L159">_xlfn.IFS(K159&gt;3.7,"A+",K159&gt;3.3,"A-",K159&gt;=2.8,"B+",K159&gt;2.3,"B-",K159&gt;=2,"C+",K159&gt;1.3,"C-",K159&gt;=1,"D+",K159&lt;=1,"F")</f>
        <v>A+</v>
      </c>
    </row>
    <row r="160" spans="1:12" x14ac:dyDescent="0.3">
      <c r="A160">
        <v>159</v>
      </c>
      <c r="B160" t="s">
        <v>171</v>
      </c>
      <c r="C160" t="s">
        <v>13</v>
      </c>
      <c r="D160">
        <v>14</v>
      </c>
      <c r="E160" t="s">
        <v>18</v>
      </c>
      <c r="F160">
        <v>73</v>
      </c>
      <c r="G160">
        <v>71</v>
      </c>
      <c r="H160">
        <v>87</v>
      </c>
      <c r="I160">
        <v>30</v>
      </c>
      <c r="J160">
        <f t="shared" si="2"/>
        <v>125.49999999999999</v>
      </c>
      <c r="K160">
        <f>Table1[[#This Row],[Percentage]]/100*4</f>
        <v>5.0199999999999996</v>
      </c>
      <c r="L160" t="str" cm="1">
        <f t="array" ref="L160">_xlfn.IFS(K160&gt;3.7,"A+",K160&gt;3.3,"A-",K160&gt;=2.8,"B+",K160&gt;2.3,"B-",K160&gt;=2,"C+",K160&gt;1.3,"C-",K160&gt;=1,"D+",K160&lt;=1,"F")</f>
        <v>A+</v>
      </c>
    </row>
    <row r="161" spans="1:12" x14ac:dyDescent="0.3">
      <c r="A161">
        <v>160</v>
      </c>
      <c r="B161" t="s">
        <v>172</v>
      </c>
      <c r="C161" t="s">
        <v>13</v>
      </c>
      <c r="D161">
        <v>14</v>
      </c>
      <c r="E161" t="s">
        <v>14</v>
      </c>
      <c r="F161">
        <v>61</v>
      </c>
      <c r="G161">
        <v>89</v>
      </c>
      <c r="H161">
        <v>70</v>
      </c>
      <c r="I161">
        <v>68</v>
      </c>
      <c r="J161">
        <f t="shared" si="2"/>
        <v>137.25</v>
      </c>
      <c r="K161">
        <f>Table1[[#This Row],[Percentage]]/100*4</f>
        <v>5.49</v>
      </c>
      <c r="L161" t="str" cm="1">
        <f t="array" ref="L161">_xlfn.IFS(K161&gt;3.7,"A+",K161&gt;3.3,"A-",K161&gt;=2.8,"B+",K161&gt;2.3,"B-",K161&gt;=2,"C+",K161&gt;1.3,"C-",K161&gt;=1,"D+",K161&lt;=1,"F")</f>
        <v>A+</v>
      </c>
    </row>
    <row r="162" spans="1:12" x14ac:dyDescent="0.3">
      <c r="A162">
        <v>161</v>
      </c>
      <c r="B162" t="s">
        <v>173</v>
      </c>
      <c r="C162" t="s">
        <v>10</v>
      </c>
      <c r="D162">
        <v>15</v>
      </c>
      <c r="E162" t="s">
        <v>11</v>
      </c>
      <c r="F162">
        <v>58</v>
      </c>
      <c r="G162">
        <v>25</v>
      </c>
      <c r="H162">
        <v>23</v>
      </c>
      <c r="I162">
        <v>39</v>
      </c>
      <c r="J162">
        <f t="shared" si="2"/>
        <v>108.25</v>
      </c>
      <c r="K162">
        <f>Table1[[#This Row],[Percentage]]/100*4</f>
        <v>4.33</v>
      </c>
      <c r="L162" t="str" cm="1">
        <f t="array" ref="L162">_xlfn.IFS(K162&gt;3.7,"A+",K162&gt;3.3,"A-",K162&gt;=2.8,"B+",K162&gt;2.3,"B-",K162&gt;=2,"C+",K162&gt;1.3,"C-",K162&gt;=1,"D+",K162&lt;=1,"F")</f>
        <v>A+</v>
      </c>
    </row>
    <row r="163" spans="1:12" x14ac:dyDescent="0.3">
      <c r="A163">
        <v>162</v>
      </c>
      <c r="B163" t="s">
        <v>174</v>
      </c>
      <c r="C163" t="s">
        <v>10</v>
      </c>
      <c r="D163">
        <v>13</v>
      </c>
      <c r="E163" t="s">
        <v>18</v>
      </c>
      <c r="F163">
        <v>100</v>
      </c>
      <c r="G163">
        <v>64</v>
      </c>
      <c r="H163">
        <v>16</v>
      </c>
      <c r="I163">
        <v>20</v>
      </c>
      <c r="J163">
        <f t="shared" si="2"/>
        <v>86.25</v>
      </c>
      <c r="K163">
        <f>Table1[[#This Row],[Percentage]]/100*4</f>
        <v>3.45</v>
      </c>
      <c r="L163" t="str" cm="1">
        <f t="array" ref="L163">_xlfn.IFS(K163&gt;3.7,"A+",K163&gt;3.3,"A-",K163&gt;=2.8,"B+",K163&gt;2.3,"B-",K163&gt;=2,"C+",K163&gt;1.3,"C-",K163&gt;=1,"D+",K163&lt;=1,"F")</f>
        <v>A-</v>
      </c>
    </row>
    <row r="164" spans="1:12" x14ac:dyDescent="0.3">
      <c r="A164">
        <v>163</v>
      </c>
      <c r="B164" t="s">
        <v>175</v>
      </c>
      <c r="C164" t="s">
        <v>13</v>
      </c>
      <c r="D164">
        <v>15</v>
      </c>
      <c r="E164" t="s">
        <v>14</v>
      </c>
      <c r="F164">
        <v>44</v>
      </c>
      <c r="G164">
        <v>47</v>
      </c>
      <c r="H164">
        <v>43</v>
      </c>
      <c r="I164">
        <v>55</v>
      </c>
      <c r="J164">
        <f t="shared" si="2"/>
        <v>97.25</v>
      </c>
      <c r="K164">
        <f>Table1[[#This Row],[Percentage]]/100*4</f>
        <v>3.89</v>
      </c>
      <c r="L164" t="str" cm="1">
        <f t="array" ref="L164">_xlfn.IFS(K164&gt;3.7,"A+",K164&gt;3.3,"A-",K164&gt;=2.8,"B+",K164&gt;2.3,"B-",K164&gt;=2,"C+",K164&gt;1.3,"C-",K164&gt;=1,"D+",K164&lt;=1,"F")</f>
        <v>A+</v>
      </c>
    </row>
    <row r="165" spans="1:12" x14ac:dyDescent="0.3">
      <c r="A165">
        <v>164</v>
      </c>
      <c r="B165" t="s">
        <v>176</v>
      </c>
      <c r="C165" t="s">
        <v>10</v>
      </c>
      <c r="D165">
        <v>13</v>
      </c>
      <c r="E165" t="s">
        <v>18</v>
      </c>
      <c r="F165">
        <v>91</v>
      </c>
      <c r="G165">
        <v>12</v>
      </c>
      <c r="H165">
        <v>15</v>
      </c>
      <c r="I165">
        <v>70</v>
      </c>
      <c r="J165">
        <f t="shared" si="2"/>
        <v>94.25</v>
      </c>
      <c r="K165">
        <f>Table1[[#This Row],[Percentage]]/100*4</f>
        <v>3.77</v>
      </c>
      <c r="L165" t="str" cm="1">
        <f t="array" ref="L165">_xlfn.IFS(K165&gt;3.7,"A+",K165&gt;3.3,"A-",K165&gt;=2.8,"B+",K165&gt;2.3,"B-",K165&gt;=2,"C+",K165&gt;1.3,"C-",K165&gt;=1,"D+",K165&lt;=1,"F")</f>
        <v>A+</v>
      </c>
    </row>
    <row r="166" spans="1:12" x14ac:dyDescent="0.3">
      <c r="A166">
        <v>165</v>
      </c>
      <c r="B166" t="s">
        <v>177</v>
      </c>
      <c r="C166" t="s">
        <v>10</v>
      </c>
      <c r="D166">
        <v>15</v>
      </c>
      <c r="E166" t="s">
        <v>11</v>
      </c>
      <c r="F166">
        <v>35</v>
      </c>
      <c r="G166">
        <v>39</v>
      </c>
      <c r="H166">
        <v>61</v>
      </c>
      <c r="I166">
        <v>9</v>
      </c>
      <c r="J166">
        <f t="shared" si="2"/>
        <v>83</v>
      </c>
      <c r="K166">
        <f>Table1[[#This Row],[Percentage]]/100*4</f>
        <v>3.32</v>
      </c>
      <c r="L166" t="str" cm="1">
        <f t="array" ref="L166">_xlfn.IFS(K166&gt;3.7,"A+",K166&gt;3.3,"A-",K166&gt;=2.8,"B+",K166&gt;2.3,"B-",K166&gt;=2,"C+",K166&gt;1.3,"C-",K166&gt;=1,"D+",K166&lt;=1,"F")</f>
        <v>A-</v>
      </c>
    </row>
    <row r="167" spans="1:12" x14ac:dyDescent="0.3">
      <c r="A167">
        <v>166</v>
      </c>
      <c r="B167" t="s">
        <v>178</v>
      </c>
      <c r="C167" t="s">
        <v>13</v>
      </c>
      <c r="D167">
        <v>13</v>
      </c>
      <c r="E167" t="s">
        <v>11</v>
      </c>
      <c r="F167">
        <v>67</v>
      </c>
      <c r="G167">
        <v>21</v>
      </c>
      <c r="H167">
        <v>60</v>
      </c>
      <c r="I167">
        <v>40</v>
      </c>
      <c r="J167">
        <f t="shared" si="2"/>
        <v>83</v>
      </c>
      <c r="K167">
        <f>Table1[[#This Row],[Percentage]]/100*4</f>
        <v>3.32</v>
      </c>
      <c r="L167" t="str" cm="1">
        <f t="array" ref="L167">_xlfn.IFS(K167&gt;3.7,"A+",K167&gt;3.3,"A-",K167&gt;=2.8,"B+",K167&gt;2.3,"B-",K167&gt;=2,"C+",K167&gt;1.3,"C-",K167&gt;=1,"D+",K167&lt;=1,"F")</f>
        <v>A-</v>
      </c>
    </row>
    <row r="168" spans="1:12" x14ac:dyDescent="0.3">
      <c r="A168">
        <v>167</v>
      </c>
      <c r="B168" t="s">
        <v>179</v>
      </c>
      <c r="C168" t="s">
        <v>13</v>
      </c>
      <c r="D168">
        <v>15</v>
      </c>
      <c r="E168" t="s">
        <v>11</v>
      </c>
      <c r="F168">
        <v>84</v>
      </c>
      <c r="G168">
        <v>8</v>
      </c>
      <c r="H168">
        <v>71</v>
      </c>
      <c r="I168">
        <v>48</v>
      </c>
      <c r="J168">
        <f t="shared" si="2"/>
        <v>99.75</v>
      </c>
      <c r="K168">
        <f>Table1[[#This Row],[Percentage]]/100*4</f>
        <v>3.99</v>
      </c>
      <c r="L168" t="str" cm="1">
        <f t="array" ref="L168">_xlfn.IFS(K168&gt;3.7,"A+",K168&gt;3.3,"A-",K168&gt;=2.8,"B+",K168&gt;2.3,"B-",K168&gt;=2,"C+",K168&gt;1.3,"C-",K168&gt;=1,"D+",K168&lt;=1,"F")</f>
        <v>A+</v>
      </c>
    </row>
    <row r="169" spans="1:12" x14ac:dyDescent="0.3">
      <c r="A169">
        <v>168</v>
      </c>
      <c r="B169" t="s">
        <v>31</v>
      </c>
      <c r="C169" t="s">
        <v>10</v>
      </c>
      <c r="D169">
        <v>13</v>
      </c>
      <c r="E169" t="s">
        <v>14</v>
      </c>
      <c r="F169">
        <v>23</v>
      </c>
      <c r="G169">
        <v>5</v>
      </c>
      <c r="H169">
        <v>39</v>
      </c>
      <c r="I169">
        <v>42</v>
      </c>
      <c r="J169">
        <f t="shared" si="2"/>
        <v>80</v>
      </c>
      <c r="K169">
        <f>Table1[[#This Row],[Percentage]]/100*4</f>
        <v>3.2</v>
      </c>
      <c r="L169" t="str" cm="1">
        <f t="array" ref="L169">_xlfn.IFS(K169&gt;3.7,"A+",K169&gt;3.3,"A-",K169&gt;=2.8,"B+",K169&gt;2.3,"B-",K169&gt;=2,"C+",K169&gt;1.3,"C-",K169&gt;=1,"D+",K169&lt;=1,"F")</f>
        <v>B+</v>
      </c>
    </row>
    <row r="170" spans="1:12" x14ac:dyDescent="0.3">
      <c r="A170">
        <v>169</v>
      </c>
      <c r="B170" t="s">
        <v>180</v>
      </c>
      <c r="C170" t="s">
        <v>13</v>
      </c>
      <c r="D170">
        <v>14</v>
      </c>
      <c r="E170" t="s">
        <v>11</v>
      </c>
      <c r="F170">
        <v>95</v>
      </c>
      <c r="G170">
        <v>56</v>
      </c>
      <c r="H170">
        <v>4</v>
      </c>
      <c r="I170">
        <v>100</v>
      </c>
      <c r="J170">
        <f t="shared" si="2"/>
        <v>91</v>
      </c>
      <c r="K170">
        <f>Table1[[#This Row],[Percentage]]/100*4</f>
        <v>3.64</v>
      </c>
      <c r="L170" t="str" cm="1">
        <f t="array" ref="L170">_xlfn.IFS(K170&gt;3.7,"A+",K170&gt;3.3,"A-",K170&gt;=2.8,"B+",K170&gt;2.3,"B-",K170&gt;=2,"C+",K170&gt;1.3,"C-",K170&gt;=1,"D+",K170&lt;=1,"F")</f>
        <v>A-</v>
      </c>
    </row>
    <row r="171" spans="1:12" x14ac:dyDescent="0.3">
      <c r="A171">
        <v>170</v>
      </c>
      <c r="B171" t="s">
        <v>181</v>
      </c>
      <c r="C171" t="s">
        <v>10</v>
      </c>
      <c r="D171">
        <v>15</v>
      </c>
      <c r="E171" t="s">
        <v>14</v>
      </c>
      <c r="F171">
        <v>38</v>
      </c>
      <c r="G171">
        <v>17</v>
      </c>
      <c r="H171">
        <v>76</v>
      </c>
      <c r="I171">
        <v>26</v>
      </c>
      <c r="J171">
        <f t="shared" si="2"/>
        <v>103</v>
      </c>
      <c r="K171">
        <f>Table1[[#This Row],[Percentage]]/100*4</f>
        <v>4.12</v>
      </c>
      <c r="L171" t="str" cm="1">
        <f t="array" ref="L171">_xlfn.IFS(K171&gt;3.7,"A+",K171&gt;3.3,"A-",K171&gt;=2.8,"B+",K171&gt;2.3,"B-",K171&gt;=2,"C+",K171&gt;1.3,"C-",K171&gt;=1,"D+",K171&lt;=1,"F")</f>
        <v>A+</v>
      </c>
    </row>
    <row r="172" spans="1:12" x14ac:dyDescent="0.3">
      <c r="A172">
        <v>171</v>
      </c>
      <c r="B172" t="s">
        <v>182</v>
      </c>
      <c r="C172" t="s">
        <v>10</v>
      </c>
      <c r="D172">
        <v>15</v>
      </c>
      <c r="E172" t="s">
        <v>14</v>
      </c>
      <c r="F172">
        <v>34</v>
      </c>
      <c r="G172">
        <v>74</v>
      </c>
      <c r="H172">
        <v>83</v>
      </c>
      <c r="I172">
        <v>81</v>
      </c>
      <c r="J172">
        <f t="shared" si="2"/>
        <v>107.25</v>
      </c>
      <c r="K172">
        <f>Table1[[#This Row],[Percentage]]/100*4</f>
        <v>4.29</v>
      </c>
      <c r="L172" t="str" cm="1">
        <f t="array" ref="L172">_xlfn.IFS(K172&gt;3.7,"A+",K172&gt;3.3,"A-",K172&gt;=2.8,"B+",K172&gt;2.3,"B-",K172&gt;=2,"C+",K172&gt;1.3,"C-",K172&gt;=1,"D+",K172&lt;=1,"F")</f>
        <v>A+</v>
      </c>
    </row>
    <row r="173" spans="1:12" x14ac:dyDescent="0.3">
      <c r="A173">
        <v>172</v>
      </c>
      <c r="B173" t="s">
        <v>183</v>
      </c>
      <c r="C173" t="s">
        <v>13</v>
      </c>
      <c r="D173">
        <v>14</v>
      </c>
      <c r="E173" t="s">
        <v>18</v>
      </c>
      <c r="F173">
        <v>86</v>
      </c>
      <c r="G173">
        <v>92</v>
      </c>
      <c r="H173">
        <v>8</v>
      </c>
      <c r="I173">
        <v>62</v>
      </c>
      <c r="J173">
        <f t="shared" si="2"/>
        <v>130</v>
      </c>
      <c r="K173">
        <f>Table1[[#This Row],[Percentage]]/100*4</f>
        <v>5.2</v>
      </c>
      <c r="L173" t="str" cm="1">
        <f t="array" ref="L173">_xlfn.IFS(K173&gt;3.7,"A+",K173&gt;3.3,"A-",K173&gt;=2.8,"B+",K173&gt;2.3,"B-",K173&gt;=2,"C+",K173&gt;1.3,"C-",K173&gt;=1,"D+",K173&lt;=1,"F")</f>
        <v>A+</v>
      </c>
    </row>
    <row r="174" spans="1:12" x14ac:dyDescent="0.3">
      <c r="A174">
        <v>173</v>
      </c>
      <c r="B174" t="s">
        <v>184</v>
      </c>
      <c r="C174" t="s">
        <v>13</v>
      </c>
      <c r="D174">
        <v>15</v>
      </c>
      <c r="E174" t="s">
        <v>11</v>
      </c>
      <c r="F174">
        <v>55</v>
      </c>
      <c r="G174">
        <v>62</v>
      </c>
      <c r="H174">
        <v>57</v>
      </c>
      <c r="I174">
        <v>56</v>
      </c>
      <c r="J174">
        <f t="shared" si="2"/>
        <v>119.5</v>
      </c>
      <c r="K174">
        <f>Table1[[#This Row],[Percentage]]/100*4</f>
        <v>4.78</v>
      </c>
      <c r="L174" t="str" cm="1">
        <f t="array" ref="L174">_xlfn.IFS(K174&gt;3.7,"A+",K174&gt;3.3,"A-",K174&gt;=2.8,"B+",K174&gt;2.3,"B-",K174&gt;=2,"C+",K174&gt;1.3,"C-",K174&gt;=1,"D+",K174&lt;=1,"F")</f>
        <v>A+</v>
      </c>
    </row>
    <row r="175" spans="1:12" x14ac:dyDescent="0.3">
      <c r="A175">
        <v>174</v>
      </c>
      <c r="B175" t="s">
        <v>185</v>
      </c>
      <c r="C175" t="s">
        <v>13</v>
      </c>
      <c r="D175">
        <v>14</v>
      </c>
      <c r="E175" t="s">
        <v>18</v>
      </c>
      <c r="F175">
        <v>94</v>
      </c>
      <c r="G175">
        <v>28</v>
      </c>
      <c r="H175">
        <v>6</v>
      </c>
      <c r="I175">
        <v>9</v>
      </c>
      <c r="J175">
        <f t="shared" si="2"/>
        <v>91.75</v>
      </c>
      <c r="K175">
        <f>Table1[[#This Row],[Percentage]]/100*4</f>
        <v>3.67</v>
      </c>
      <c r="L175" t="str" cm="1">
        <f t="array" ref="L175">_xlfn.IFS(K175&gt;3.7,"A+",K175&gt;3.3,"A-",K175&gt;=2.8,"B+",K175&gt;2.3,"B-",K175&gt;=2,"C+",K175&gt;1.3,"C-",K175&gt;=1,"D+",K175&lt;=1,"F")</f>
        <v>A-</v>
      </c>
    </row>
    <row r="176" spans="1:12" x14ac:dyDescent="0.3">
      <c r="A176">
        <v>175</v>
      </c>
      <c r="B176" t="s">
        <v>186</v>
      </c>
      <c r="C176" t="s">
        <v>10</v>
      </c>
      <c r="D176">
        <v>14</v>
      </c>
      <c r="E176" t="s">
        <v>14</v>
      </c>
      <c r="F176">
        <v>63</v>
      </c>
      <c r="G176">
        <v>9</v>
      </c>
      <c r="H176">
        <v>91</v>
      </c>
      <c r="I176">
        <v>88</v>
      </c>
      <c r="J176">
        <f t="shared" si="2"/>
        <v>97</v>
      </c>
      <c r="K176">
        <f>Table1[[#This Row],[Percentage]]/100*4</f>
        <v>3.88</v>
      </c>
      <c r="L176" t="str" cm="1">
        <f t="array" ref="L176">_xlfn.IFS(K176&gt;3.7,"A+",K176&gt;3.3,"A-",K176&gt;=2.8,"B+",K176&gt;2.3,"B-",K176&gt;=2,"C+",K176&gt;1.3,"C-",K176&gt;=1,"D+",K176&lt;=1,"F")</f>
        <v>A+</v>
      </c>
    </row>
    <row r="177" spans="1:12" x14ac:dyDescent="0.3">
      <c r="A177">
        <v>176</v>
      </c>
      <c r="B177" t="s">
        <v>187</v>
      </c>
      <c r="C177" t="s">
        <v>13</v>
      </c>
      <c r="D177">
        <v>14</v>
      </c>
      <c r="E177" t="s">
        <v>11</v>
      </c>
      <c r="F177">
        <v>95</v>
      </c>
      <c r="G177">
        <v>21</v>
      </c>
      <c r="H177">
        <v>51</v>
      </c>
      <c r="I177">
        <v>33</v>
      </c>
      <c r="J177">
        <f t="shared" si="2"/>
        <v>112.75</v>
      </c>
      <c r="K177">
        <f>Table1[[#This Row],[Percentage]]/100*4</f>
        <v>4.51</v>
      </c>
      <c r="L177" t="str" cm="1">
        <f t="array" ref="L177">_xlfn.IFS(K177&gt;3.7,"A+",K177&gt;3.3,"A-",K177&gt;=2.8,"B+",K177&gt;2.3,"B-",K177&gt;=2,"C+",K177&gt;1.3,"C-",K177&gt;=1,"D+",K177&lt;=1,"F")</f>
        <v>A+</v>
      </c>
    </row>
    <row r="178" spans="1:12" x14ac:dyDescent="0.3">
      <c r="A178">
        <v>177</v>
      </c>
      <c r="B178" t="s">
        <v>188</v>
      </c>
      <c r="C178" t="s">
        <v>13</v>
      </c>
      <c r="D178">
        <v>13</v>
      </c>
      <c r="E178" t="s">
        <v>14</v>
      </c>
      <c r="F178">
        <v>92</v>
      </c>
      <c r="G178">
        <v>36</v>
      </c>
      <c r="H178">
        <v>59</v>
      </c>
      <c r="I178">
        <v>48</v>
      </c>
      <c r="J178">
        <f t="shared" si="2"/>
        <v>108.74999999999999</v>
      </c>
      <c r="K178">
        <f>Table1[[#This Row],[Percentage]]/100*4</f>
        <v>4.3499999999999996</v>
      </c>
      <c r="L178" t="str" cm="1">
        <f t="array" ref="L178">_xlfn.IFS(K178&gt;3.7,"A+",K178&gt;3.3,"A-",K178&gt;=2.8,"B+",K178&gt;2.3,"B-",K178&gt;=2,"C+",K178&gt;1.3,"C-",K178&gt;=1,"D+",K178&lt;=1,"F")</f>
        <v>A+</v>
      </c>
    </row>
    <row r="179" spans="1:12" x14ac:dyDescent="0.3">
      <c r="A179">
        <v>178</v>
      </c>
      <c r="B179" t="s">
        <v>189</v>
      </c>
      <c r="C179" t="s">
        <v>10</v>
      </c>
      <c r="D179">
        <v>15</v>
      </c>
      <c r="E179" t="s">
        <v>18</v>
      </c>
      <c r="F179">
        <v>87</v>
      </c>
      <c r="G179">
        <v>39</v>
      </c>
      <c r="H179">
        <v>48</v>
      </c>
      <c r="I179">
        <v>53</v>
      </c>
      <c r="J179">
        <f t="shared" si="2"/>
        <v>115.5</v>
      </c>
      <c r="K179">
        <f>Table1[[#This Row],[Percentage]]/100*4</f>
        <v>4.62</v>
      </c>
      <c r="L179" t="str" cm="1">
        <f t="array" ref="L179">_xlfn.IFS(K179&gt;3.7,"A+",K179&gt;3.3,"A-",K179&gt;=2.8,"B+",K179&gt;2.3,"B-",K179&gt;=2,"C+",K179&gt;1.3,"C-",K179&gt;=1,"D+",K179&lt;=1,"F")</f>
        <v>A+</v>
      </c>
    </row>
    <row r="180" spans="1:12" x14ac:dyDescent="0.3">
      <c r="A180">
        <v>179</v>
      </c>
      <c r="B180" t="s">
        <v>190</v>
      </c>
      <c r="C180" t="s">
        <v>13</v>
      </c>
      <c r="D180">
        <v>13</v>
      </c>
      <c r="E180" t="s">
        <v>14</v>
      </c>
      <c r="F180">
        <v>95</v>
      </c>
      <c r="G180">
        <v>73</v>
      </c>
      <c r="H180">
        <v>91</v>
      </c>
      <c r="I180">
        <v>61</v>
      </c>
      <c r="J180">
        <f t="shared" si="2"/>
        <v>136.75</v>
      </c>
      <c r="K180">
        <f>Table1[[#This Row],[Percentage]]/100*4</f>
        <v>5.47</v>
      </c>
      <c r="L180" t="str" cm="1">
        <f t="array" ref="L180">_xlfn.IFS(K180&gt;3.7,"A+",K180&gt;3.3,"A-",K180&gt;=2.8,"B+",K180&gt;2.3,"B-",K180&gt;=2,"C+",K180&gt;1.3,"C-",K180&gt;=1,"D+",K180&lt;=1,"F")</f>
        <v>A+</v>
      </c>
    </row>
    <row r="181" spans="1:12" x14ac:dyDescent="0.3">
      <c r="A181">
        <v>180</v>
      </c>
      <c r="B181" t="s">
        <v>191</v>
      </c>
      <c r="C181" t="s">
        <v>10</v>
      </c>
      <c r="D181">
        <v>15</v>
      </c>
      <c r="E181" t="s">
        <v>11</v>
      </c>
      <c r="F181">
        <v>32</v>
      </c>
      <c r="G181">
        <v>5</v>
      </c>
      <c r="H181">
        <v>53</v>
      </c>
      <c r="I181">
        <v>49</v>
      </c>
      <c r="J181">
        <f t="shared" si="2"/>
        <v>114.75</v>
      </c>
      <c r="K181">
        <f>Table1[[#This Row],[Percentage]]/100*4</f>
        <v>4.59</v>
      </c>
      <c r="L181" t="str" cm="1">
        <f t="array" ref="L181">_xlfn.IFS(K181&gt;3.7,"A+",K181&gt;3.3,"A-",K181&gt;=2.8,"B+",K181&gt;2.3,"B-",K181&gt;=2,"C+",K181&gt;1.3,"C-",K181&gt;=1,"D+",K181&lt;=1,"F")</f>
        <v>A+</v>
      </c>
    </row>
    <row r="182" spans="1:12" x14ac:dyDescent="0.3">
      <c r="A182">
        <v>181</v>
      </c>
      <c r="B182" t="s">
        <v>192</v>
      </c>
      <c r="C182" t="s">
        <v>13</v>
      </c>
      <c r="D182">
        <v>13</v>
      </c>
      <c r="E182" t="s">
        <v>11</v>
      </c>
      <c r="F182">
        <v>98</v>
      </c>
      <c r="G182">
        <v>100</v>
      </c>
      <c r="H182">
        <v>23</v>
      </c>
      <c r="I182">
        <v>84</v>
      </c>
      <c r="J182">
        <f t="shared" si="2"/>
        <v>111.00000000000001</v>
      </c>
      <c r="K182">
        <f>Table1[[#This Row],[Percentage]]/100*4</f>
        <v>4.4400000000000004</v>
      </c>
      <c r="L182" t="str" cm="1">
        <f t="array" ref="L182">_xlfn.IFS(K182&gt;3.7,"A+",K182&gt;3.3,"A-",K182&gt;=2.8,"B+",K182&gt;2.3,"B-",K182&gt;=2,"C+",K182&gt;1.3,"C-",K182&gt;=1,"D+",K182&lt;=1,"F")</f>
        <v>A+</v>
      </c>
    </row>
    <row r="183" spans="1:12" x14ac:dyDescent="0.3">
      <c r="A183">
        <v>182</v>
      </c>
      <c r="B183" t="s">
        <v>193</v>
      </c>
      <c r="C183" t="s">
        <v>13</v>
      </c>
      <c r="D183">
        <v>13</v>
      </c>
      <c r="E183" t="s">
        <v>18</v>
      </c>
      <c r="F183">
        <v>62</v>
      </c>
      <c r="G183">
        <v>42</v>
      </c>
      <c r="H183">
        <v>87</v>
      </c>
      <c r="I183">
        <v>51</v>
      </c>
      <c r="J183">
        <f t="shared" si="2"/>
        <v>136.75</v>
      </c>
      <c r="K183">
        <f>Table1[[#This Row],[Percentage]]/100*4</f>
        <v>5.47</v>
      </c>
      <c r="L183" t="str" cm="1">
        <f t="array" ref="L183">_xlfn.IFS(K183&gt;3.7,"A+",K183&gt;3.3,"A-",K183&gt;=2.8,"B+",K183&gt;2.3,"B-",K183&gt;=2,"C+",K183&gt;1.3,"C-",K183&gt;=1,"D+",K183&lt;=1,"F")</f>
        <v>A+</v>
      </c>
    </row>
    <row r="184" spans="1:12" x14ac:dyDescent="0.3">
      <c r="A184">
        <v>183</v>
      </c>
      <c r="B184" t="s">
        <v>194</v>
      </c>
      <c r="C184" t="s">
        <v>10</v>
      </c>
      <c r="D184">
        <v>15</v>
      </c>
      <c r="E184" t="s">
        <v>18</v>
      </c>
      <c r="F184">
        <v>60</v>
      </c>
      <c r="G184">
        <v>42</v>
      </c>
      <c r="H184">
        <v>49</v>
      </c>
      <c r="I184">
        <v>25</v>
      </c>
      <c r="J184">
        <f t="shared" si="2"/>
        <v>104.5</v>
      </c>
      <c r="K184">
        <f>Table1[[#This Row],[Percentage]]/100*4</f>
        <v>4.18</v>
      </c>
      <c r="L184" t="str" cm="1">
        <f t="array" ref="L184">_xlfn.IFS(K184&gt;3.7,"A+",K184&gt;3.3,"A-",K184&gt;=2.8,"B+",K184&gt;2.3,"B-",K184&gt;=2,"C+",K184&gt;1.3,"C-",K184&gt;=1,"D+",K184&lt;=1,"F")</f>
        <v>A+</v>
      </c>
    </row>
    <row r="185" spans="1:12" x14ac:dyDescent="0.3">
      <c r="A185">
        <v>184</v>
      </c>
      <c r="B185" t="s">
        <v>195</v>
      </c>
      <c r="C185" t="s">
        <v>10</v>
      </c>
      <c r="D185">
        <v>13</v>
      </c>
      <c r="E185" t="s">
        <v>11</v>
      </c>
      <c r="F185">
        <v>53</v>
      </c>
      <c r="G185">
        <v>37</v>
      </c>
      <c r="H185">
        <v>83</v>
      </c>
      <c r="I185">
        <v>64</v>
      </c>
      <c r="J185">
        <f t="shared" si="2"/>
        <v>103.25</v>
      </c>
      <c r="K185">
        <f>Table1[[#This Row],[Percentage]]/100*4</f>
        <v>4.13</v>
      </c>
      <c r="L185" t="str" cm="1">
        <f t="array" ref="L185">_xlfn.IFS(K185&gt;3.7,"A+",K185&gt;3.3,"A-",K185&gt;=2.8,"B+",K185&gt;2.3,"B-",K185&gt;=2,"C+",K185&gt;1.3,"C-",K185&gt;=1,"D+",K185&lt;=1,"F")</f>
        <v>A+</v>
      </c>
    </row>
    <row r="186" spans="1:12" x14ac:dyDescent="0.3">
      <c r="A186">
        <v>185</v>
      </c>
      <c r="B186" t="s">
        <v>196</v>
      </c>
      <c r="C186" t="s">
        <v>13</v>
      </c>
      <c r="D186">
        <v>14</v>
      </c>
      <c r="E186" t="s">
        <v>14</v>
      </c>
      <c r="F186">
        <v>75</v>
      </c>
      <c r="G186">
        <v>14</v>
      </c>
      <c r="H186">
        <v>54</v>
      </c>
      <c r="I186">
        <v>68</v>
      </c>
      <c r="J186">
        <f t="shared" si="2"/>
        <v>112.00000000000001</v>
      </c>
      <c r="K186">
        <f>Table1[[#This Row],[Percentage]]/100*4</f>
        <v>4.4800000000000004</v>
      </c>
      <c r="L186" t="str" cm="1">
        <f t="array" ref="L186">_xlfn.IFS(K186&gt;3.7,"A+",K186&gt;3.3,"A-",K186&gt;=2.8,"B+",K186&gt;2.3,"B-",K186&gt;=2,"C+",K186&gt;1.3,"C-",K186&gt;=1,"D+",K186&lt;=1,"F")</f>
        <v>A+</v>
      </c>
    </row>
    <row r="187" spans="1:12" x14ac:dyDescent="0.3">
      <c r="A187">
        <v>186</v>
      </c>
      <c r="B187" t="s">
        <v>197</v>
      </c>
      <c r="C187" t="s">
        <v>13</v>
      </c>
      <c r="D187">
        <v>15</v>
      </c>
      <c r="E187" t="s">
        <v>18</v>
      </c>
      <c r="F187">
        <v>48</v>
      </c>
      <c r="G187">
        <v>2</v>
      </c>
      <c r="H187">
        <v>63</v>
      </c>
      <c r="I187">
        <v>91</v>
      </c>
      <c r="J187">
        <f t="shared" si="2"/>
        <v>103.75000000000001</v>
      </c>
      <c r="K187">
        <f>Table1[[#This Row],[Percentage]]/100*4</f>
        <v>4.1500000000000004</v>
      </c>
      <c r="L187" t="str" cm="1">
        <f t="array" ref="L187">_xlfn.IFS(K187&gt;3.7,"A+",K187&gt;3.3,"A-",K187&gt;=2.8,"B+",K187&gt;2.3,"B-",K187&gt;=2,"C+",K187&gt;1.3,"C-",K187&gt;=1,"D+",K187&lt;=1,"F")</f>
        <v>A+</v>
      </c>
    </row>
    <row r="188" spans="1:12" x14ac:dyDescent="0.3">
      <c r="A188">
        <v>187</v>
      </c>
      <c r="B188" t="s">
        <v>198</v>
      </c>
      <c r="C188" t="s">
        <v>13</v>
      </c>
      <c r="D188">
        <v>14</v>
      </c>
      <c r="E188" t="s">
        <v>18</v>
      </c>
      <c r="F188">
        <v>27</v>
      </c>
      <c r="G188">
        <v>11</v>
      </c>
      <c r="H188">
        <v>18</v>
      </c>
      <c r="I188">
        <v>92</v>
      </c>
      <c r="J188">
        <f t="shared" si="2"/>
        <v>88</v>
      </c>
      <c r="K188">
        <f>Table1[[#This Row],[Percentage]]/100*4</f>
        <v>3.52</v>
      </c>
      <c r="L188" t="str" cm="1">
        <f t="array" ref="L188">_xlfn.IFS(K188&gt;3.7,"A+",K188&gt;3.3,"A-",K188&gt;=2.8,"B+",K188&gt;2.3,"B-",K188&gt;=2,"C+",K188&gt;1.3,"C-",K188&gt;=1,"D+",K188&lt;=1,"F")</f>
        <v>A-</v>
      </c>
    </row>
    <row r="189" spans="1:12" x14ac:dyDescent="0.3">
      <c r="A189">
        <v>188</v>
      </c>
      <c r="B189" t="s">
        <v>199</v>
      </c>
      <c r="C189" t="s">
        <v>10</v>
      </c>
      <c r="D189">
        <v>14</v>
      </c>
      <c r="E189" t="s">
        <v>14</v>
      </c>
      <c r="F189">
        <v>60</v>
      </c>
      <c r="G189">
        <v>55</v>
      </c>
      <c r="H189">
        <v>30</v>
      </c>
      <c r="I189">
        <v>83</v>
      </c>
      <c r="J189">
        <f t="shared" si="2"/>
        <v>94</v>
      </c>
      <c r="K189">
        <f>Table1[[#This Row],[Percentage]]/100*4</f>
        <v>3.76</v>
      </c>
      <c r="L189" t="str" cm="1">
        <f t="array" ref="L189">_xlfn.IFS(K189&gt;3.7,"A+",K189&gt;3.3,"A-",K189&gt;=2.8,"B+",K189&gt;2.3,"B-",K189&gt;=2,"C+",K189&gt;1.3,"C-",K189&gt;=1,"D+",K189&lt;=1,"F")</f>
        <v>A+</v>
      </c>
    </row>
    <row r="190" spans="1:12" x14ac:dyDescent="0.3">
      <c r="A190">
        <v>189</v>
      </c>
      <c r="B190" t="s">
        <v>200</v>
      </c>
      <c r="C190" t="s">
        <v>10</v>
      </c>
      <c r="D190">
        <v>15</v>
      </c>
      <c r="E190" t="s">
        <v>11</v>
      </c>
      <c r="F190">
        <v>87</v>
      </c>
      <c r="G190">
        <v>21</v>
      </c>
      <c r="H190">
        <v>41</v>
      </c>
      <c r="I190">
        <v>24</v>
      </c>
      <c r="J190">
        <f t="shared" si="2"/>
        <v>100.25</v>
      </c>
      <c r="K190">
        <f>Table1[[#This Row],[Percentage]]/100*4</f>
        <v>4.01</v>
      </c>
      <c r="L190" t="str" cm="1">
        <f t="array" ref="L190">_xlfn.IFS(K190&gt;3.7,"A+",K190&gt;3.3,"A-",K190&gt;=2.8,"B+",K190&gt;2.3,"B-",K190&gt;=2,"C+",K190&gt;1.3,"C-",K190&gt;=1,"D+",K190&lt;=1,"F")</f>
        <v>A+</v>
      </c>
    </row>
    <row r="191" spans="1:12" x14ac:dyDescent="0.3">
      <c r="A191">
        <v>190</v>
      </c>
      <c r="B191" t="s">
        <v>201</v>
      </c>
      <c r="C191" t="s">
        <v>13</v>
      </c>
      <c r="D191">
        <v>13</v>
      </c>
      <c r="E191" t="s">
        <v>18</v>
      </c>
      <c r="F191">
        <v>14</v>
      </c>
      <c r="G191">
        <v>6</v>
      </c>
      <c r="H191">
        <v>29</v>
      </c>
      <c r="I191">
        <v>72</v>
      </c>
      <c r="J191">
        <f t="shared" si="2"/>
        <v>73.5</v>
      </c>
      <c r="K191">
        <f>Table1[[#This Row],[Percentage]]/100*4</f>
        <v>2.94</v>
      </c>
      <c r="L191" t="str" cm="1">
        <f t="array" ref="L191">_xlfn.IFS(K191&gt;3.7,"A+",K191&gt;3.3,"A-",K191&gt;=2.8,"B+",K191&gt;2.3,"B-",K191&gt;=2,"C+",K191&gt;1.3,"C-",K191&gt;=1,"D+",K191&lt;=1,"F")</f>
        <v>B+</v>
      </c>
    </row>
    <row r="192" spans="1:12" x14ac:dyDescent="0.3">
      <c r="A192">
        <v>191</v>
      </c>
      <c r="B192" t="s">
        <v>202</v>
      </c>
      <c r="C192" t="s">
        <v>13</v>
      </c>
      <c r="D192">
        <v>14</v>
      </c>
      <c r="E192" t="s">
        <v>11</v>
      </c>
      <c r="F192">
        <v>38</v>
      </c>
      <c r="G192">
        <v>66</v>
      </c>
      <c r="H192">
        <v>53</v>
      </c>
      <c r="I192">
        <v>32</v>
      </c>
      <c r="J192">
        <f t="shared" si="2"/>
        <v>77.5</v>
      </c>
      <c r="K192">
        <f>Table1[[#This Row],[Percentage]]/100*4</f>
        <v>3.1</v>
      </c>
      <c r="L192" t="str" cm="1">
        <f t="array" ref="L192">_xlfn.IFS(K192&gt;3.7,"A+",K192&gt;3.3,"A-",K192&gt;=2.8,"B+",K192&gt;2.3,"B-",K192&gt;=2,"C+",K192&gt;1.3,"C-",K192&gt;=1,"D+",K192&lt;=1,"F")</f>
        <v>B+</v>
      </c>
    </row>
    <row r="193" spans="1:12" x14ac:dyDescent="0.3">
      <c r="A193">
        <v>192</v>
      </c>
      <c r="B193" t="s">
        <v>203</v>
      </c>
      <c r="C193" t="s">
        <v>13</v>
      </c>
      <c r="D193">
        <v>13</v>
      </c>
      <c r="E193" t="s">
        <v>14</v>
      </c>
      <c r="F193">
        <v>39</v>
      </c>
      <c r="G193">
        <v>14</v>
      </c>
      <c r="H193">
        <v>77</v>
      </c>
      <c r="I193">
        <v>53</v>
      </c>
      <c r="J193">
        <f t="shared" si="2"/>
        <v>93</v>
      </c>
      <c r="K193">
        <f>Table1[[#This Row],[Percentage]]/100*4</f>
        <v>3.72</v>
      </c>
      <c r="L193" t="str" cm="1">
        <f t="array" ref="L193">_xlfn.IFS(K193&gt;3.7,"A+",K193&gt;3.3,"A-",K193&gt;=2.8,"B+",K193&gt;2.3,"B-",K193&gt;=2,"C+",K193&gt;1.3,"C-",K193&gt;=1,"D+",K193&lt;=1,"F")</f>
        <v>A+</v>
      </c>
    </row>
    <row r="194" spans="1:12" x14ac:dyDescent="0.3">
      <c r="A194">
        <v>193</v>
      </c>
      <c r="B194" t="s">
        <v>204</v>
      </c>
      <c r="C194" t="s">
        <v>13</v>
      </c>
      <c r="D194">
        <v>15</v>
      </c>
      <c r="E194" t="s">
        <v>18</v>
      </c>
      <c r="F194">
        <v>50</v>
      </c>
      <c r="G194">
        <v>48</v>
      </c>
      <c r="H194">
        <v>13</v>
      </c>
      <c r="I194">
        <v>15</v>
      </c>
      <c r="J194">
        <f t="shared" ref="J194:J251" si="3">SUM(F193:I194)/400*100</f>
        <v>77.25</v>
      </c>
      <c r="K194">
        <f>Table1[[#This Row],[Percentage]]/100*4</f>
        <v>3.09</v>
      </c>
      <c r="L194" t="str" cm="1">
        <f t="array" ref="L194">_xlfn.IFS(K194&gt;3.7,"A+",K194&gt;3.3,"A-",K194&gt;=2.8,"B+",K194&gt;2.3,"B-",K194&gt;=2,"C+",K194&gt;1.3,"C-",K194&gt;=1,"D+",K194&lt;=1,"F")</f>
        <v>B+</v>
      </c>
    </row>
    <row r="195" spans="1:12" x14ac:dyDescent="0.3">
      <c r="A195">
        <v>194</v>
      </c>
      <c r="B195" t="s">
        <v>205</v>
      </c>
      <c r="C195" t="s">
        <v>10</v>
      </c>
      <c r="D195">
        <v>13</v>
      </c>
      <c r="E195" t="s">
        <v>14</v>
      </c>
      <c r="F195">
        <v>48</v>
      </c>
      <c r="G195">
        <v>4</v>
      </c>
      <c r="H195">
        <v>79</v>
      </c>
      <c r="I195">
        <v>76</v>
      </c>
      <c r="J195">
        <f t="shared" si="3"/>
        <v>83.25</v>
      </c>
      <c r="K195">
        <f>Table1[[#This Row],[Percentage]]/100*4</f>
        <v>3.33</v>
      </c>
      <c r="L195" t="str" cm="1">
        <f t="array" ref="L195">_xlfn.IFS(K195&gt;3.7,"A+",K195&gt;3.3,"A-",K195&gt;=2.8,"B+",K195&gt;2.3,"B-",K195&gt;=2,"C+",K195&gt;1.3,"C-",K195&gt;=1,"D+",K195&lt;=1,"F")</f>
        <v>A-</v>
      </c>
    </row>
    <row r="196" spans="1:12" x14ac:dyDescent="0.3">
      <c r="A196">
        <v>195</v>
      </c>
      <c r="B196" t="s">
        <v>206</v>
      </c>
      <c r="C196" t="s">
        <v>13</v>
      </c>
      <c r="D196">
        <v>15</v>
      </c>
      <c r="E196" t="s">
        <v>11</v>
      </c>
      <c r="F196">
        <v>13</v>
      </c>
      <c r="G196">
        <v>35</v>
      </c>
      <c r="H196">
        <v>71</v>
      </c>
      <c r="I196">
        <v>30</v>
      </c>
      <c r="J196">
        <f t="shared" si="3"/>
        <v>89</v>
      </c>
      <c r="K196">
        <f>Table1[[#This Row],[Percentage]]/100*4</f>
        <v>3.56</v>
      </c>
      <c r="L196" t="str" cm="1">
        <f t="array" ref="L196">_xlfn.IFS(K196&gt;3.7,"A+",K196&gt;3.3,"A-",K196&gt;=2.8,"B+",K196&gt;2.3,"B-",K196&gt;=2,"C+",K196&gt;1.3,"C-",K196&gt;=1,"D+",K196&lt;=1,"F")</f>
        <v>A-</v>
      </c>
    </row>
    <row r="197" spans="1:12" x14ac:dyDescent="0.3">
      <c r="A197">
        <v>196</v>
      </c>
      <c r="B197" t="s">
        <v>207</v>
      </c>
      <c r="C197" t="s">
        <v>13</v>
      </c>
      <c r="D197">
        <v>14</v>
      </c>
      <c r="E197" t="s">
        <v>18</v>
      </c>
      <c r="F197">
        <v>92</v>
      </c>
      <c r="G197">
        <v>57</v>
      </c>
      <c r="H197">
        <v>31</v>
      </c>
      <c r="I197">
        <v>75</v>
      </c>
      <c r="J197">
        <f t="shared" si="3"/>
        <v>101</v>
      </c>
      <c r="K197">
        <f>Table1[[#This Row],[Percentage]]/100*4</f>
        <v>4.04</v>
      </c>
      <c r="L197" t="str" cm="1">
        <f t="array" ref="L197">_xlfn.IFS(K197&gt;3.7,"A+",K197&gt;3.3,"A-",K197&gt;=2.8,"B+",K197&gt;2.3,"B-",K197&gt;=2,"C+",K197&gt;1.3,"C-",K197&gt;=1,"D+",K197&lt;=1,"F")</f>
        <v>A+</v>
      </c>
    </row>
    <row r="198" spans="1:12" x14ac:dyDescent="0.3">
      <c r="A198">
        <v>197</v>
      </c>
      <c r="B198" t="s">
        <v>208</v>
      </c>
      <c r="C198" t="s">
        <v>10</v>
      </c>
      <c r="D198">
        <v>14</v>
      </c>
      <c r="E198" t="s">
        <v>18</v>
      </c>
      <c r="F198">
        <v>82</v>
      </c>
      <c r="G198">
        <v>4</v>
      </c>
      <c r="H198">
        <v>56</v>
      </c>
      <c r="I198">
        <v>22</v>
      </c>
      <c r="J198">
        <f t="shared" si="3"/>
        <v>104.75000000000001</v>
      </c>
      <c r="K198">
        <f>Table1[[#This Row],[Percentage]]/100*4</f>
        <v>4.1900000000000004</v>
      </c>
      <c r="L198" t="str" cm="1">
        <f t="array" ref="L198">_xlfn.IFS(K198&gt;3.7,"A+",K198&gt;3.3,"A-",K198&gt;=2.8,"B+",K198&gt;2.3,"B-",K198&gt;=2,"C+",K198&gt;1.3,"C-",K198&gt;=1,"D+",K198&lt;=1,"F")</f>
        <v>A+</v>
      </c>
    </row>
    <row r="199" spans="1:12" x14ac:dyDescent="0.3">
      <c r="A199">
        <v>198</v>
      </c>
      <c r="B199" t="s">
        <v>209</v>
      </c>
      <c r="C199" t="s">
        <v>10</v>
      </c>
      <c r="D199">
        <v>14</v>
      </c>
      <c r="E199" t="s">
        <v>14</v>
      </c>
      <c r="F199">
        <v>98</v>
      </c>
      <c r="G199">
        <v>13</v>
      </c>
      <c r="H199">
        <v>35</v>
      </c>
      <c r="I199">
        <v>4</v>
      </c>
      <c r="J199">
        <f t="shared" si="3"/>
        <v>78.5</v>
      </c>
      <c r="K199">
        <f>Table1[[#This Row],[Percentage]]/100*4</f>
        <v>3.14</v>
      </c>
      <c r="L199" t="str" cm="1">
        <f t="array" ref="L199">_xlfn.IFS(K199&gt;3.7,"A+",K199&gt;3.3,"A-",K199&gt;=2.8,"B+",K199&gt;2.3,"B-",K199&gt;=2,"C+",K199&gt;1.3,"C-",K199&gt;=1,"D+",K199&lt;=1,"F")</f>
        <v>B+</v>
      </c>
    </row>
    <row r="200" spans="1:12" x14ac:dyDescent="0.3">
      <c r="A200">
        <v>199</v>
      </c>
      <c r="B200" t="s">
        <v>210</v>
      </c>
      <c r="C200" t="s">
        <v>13</v>
      </c>
      <c r="D200">
        <v>14</v>
      </c>
      <c r="E200" t="s">
        <v>11</v>
      </c>
      <c r="F200">
        <v>30</v>
      </c>
      <c r="G200">
        <v>62</v>
      </c>
      <c r="H200">
        <v>32</v>
      </c>
      <c r="I200">
        <v>60</v>
      </c>
      <c r="J200">
        <f t="shared" si="3"/>
        <v>83.5</v>
      </c>
      <c r="K200">
        <f>Table1[[#This Row],[Percentage]]/100*4</f>
        <v>3.34</v>
      </c>
      <c r="L200" t="str" cm="1">
        <f t="array" ref="L200">_xlfn.IFS(K200&gt;3.7,"A+",K200&gt;3.3,"A-",K200&gt;=2.8,"B+",K200&gt;2.3,"B-",K200&gt;=2,"C+",K200&gt;1.3,"C-",K200&gt;=1,"D+",K200&lt;=1,"F")</f>
        <v>A-</v>
      </c>
    </row>
    <row r="201" spans="1:12" x14ac:dyDescent="0.3">
      <c r="A201">
        <v>200</v>
      </c>
      <c r="B201" t="s">
        <v>210</v>
      </c>
      <c r="C201" t="s">
        <v>10</v>
      </c>
      <c r="D201">
        <v>15</v>
      </c>
      <c r="E201" t="s">
        <v>18</v>
      </c>
      <c r="F201">
        <v>57</v>
      </c>
      <c r="G201">
        <v>68</v>
      </c>
      <c r="H201">
        <v>56</v>
      </c>
      <c r="I201">
        <v>23</v>
      </c>
      <c r="J201">
        <f t="shared" si="3"/>
        <v>97</v>
      </c>
      <c r="K201">
        <f>Table1[[#This Row],[Percentage]]/100*4</f>
        <v>3.88</v>
      </c>
      <c r="L201" t="str" cm="1">
        <f t="array" ref="L201">_xlfn.IFS(K201&gt;3.7,"A+",K201&gt;3.3,"A-",K201&gt;=2.8,"B+",K201&gt;2.3,"B-",K201&gt;=2,"C+",K201&gt;1.3,"C-",K201&gt;=1,"D+",K201&lt;=1,"F")</f>
        <v>A+</v>
      </c>
    </row>
    <row r="202" spans="1:12" x14ac:dyDescent="0.3">
      <c r="A202">
        <v>201</v>
      </c>
      <c r="B202" t="s">
        <v>211</v>
      </c>
      <c r="C202" t="s">
        <v>10</v>
      </c>
      <c r="D202">
        <v>15</v>
      </c>
      <c r="E202" t="s">
        <v>14</v>
      </c>
      <c r="F202">
        <v>84</v>
      </c>
      <c r="G202">
        <v>97</v>
      </c>
      <c r="H202">
        <v>88</v>
      </c>
      <c r="I202">
        <v>64</v>
      </c>
      <c r="J202">
        <f t="shared" si="3"/>
        <v>134.25</v>
      </c>
      <c r="K202">
        <f>Table1[[#This Row],[Percentage]]/100*4</f>
        <v>5.37</v>
      </c>
      <c r="L202" t="str" cm="1">
        <f t="array" ref="L202">_xlfn.IFS(K202&gt;3.7,"A+",K202&gt;3.3,"A-",K202&gt;=2.8,"B+",K202&gt;2.3,"B-",K202&gt;=2,"C+",K202&gt;1.3,"C-",K202&gt;=1,"D+",K202&lt;=1,"F")</f>
        <v>A+</v>
      </c>
    </row>
    <row r="203" spans="1:12" x14ac:dyDescent="0.3">
      <c r="A203">
        <v>202</v>
      </c>
      <c r="B203" t="s">
        <v>212</v>
      </c>
      <c r="C203" t="s">
        <v>13</v>
      </c>
      <c r="D203">
        <v>14</v>
      </c>
      <c r="E203" t="s">
        <v>11</v>
      </c>
      <c r="F203">
        <v>89</v>
      </c>
      <c r="G203">
        <v>59</v>
      </c>
      <c r="H203">
        <v>33</v>
      </c>
      <c r="I203">
        <v>91</v>
      </c>
      <c r="J203">
        <f t="shared" si="3"/>
        <v>151.25</v>
      </c>
      <c r="K203">
        <f>Table1[[#This Row],[Percentage]]/100*4</f>
        <v>6.05</v>
      </c>
      <c r="L203" t="str" cm="1">
        <f t="array" ref="L203">_xlfn.IFS(K203&gt;3.7,"A+",K203&gt;3.3,"A-",K203&gt;=2.8,"B+",K203&gt;2.3,"B-",K203&gt;=2,"C+",K203&gt;1.3,"C-",K203&gt;=1,"D+",K203&lt;=1,"F")</f>
        <v>A+</v>
      </c>
    </row>
    <row r="204" spans="1:12" x14ac:dyDescent="0.3">
      <c r="A204">
        <v>203</v>
      </c>
      <c r="B204" t="s">
        <v>213</v>
      </c>
      <c r="C204" t="s">
        <v>13</v>
      </c>
      <c r="D204">
        <v>14</v>
      </c>
      <c r="E204" t="s">
        <v>14</v>
      </c>
      <c r="F204">
        <v>45</v>
      </c>
      <c r="G204">
        <v>21</v>
      </c>
      <c r="H204">
        <v>61</v>
      </c>
      <c r="I204">
        <v>13</v>
      </c>
      <c r="J204">
        <f t="shared" si="3"/>
        <v>103</v>
      </c>
      <c r="K204">
        <f>Table1[[#This Row],[Percentage]]/100*4</f>
        <v>4.12</v>
      </c>
      <c r="L204" t="str" cm="1">
        <f t="array" ref="L204">_xlfn.IFS(K204&gt;3.7,"A+",K204&gt;3.3,"A-",K204&gt;=2.8,"B+",K204&gt;2.3,"B-",K204&gt;=2,"C+",K204&gt;1.3,"C-",K204&gt;=1,"D+",K204&lt;=1,"F")</f>
        <v>A+</v>
      </c>
    </row>
    <row r="205" spans="1:12" x14ac:dyDescent="0.3">
      <c r="A205">
        <v>204</v>
      </c>
      <c r="B205" t="s">
        <v>214</v>
      </c>
      <c r="C205" t="s">
        <v>13</v>
      </c>
      <c r="D205">
        <v>14</v>
      </c>
      <c r="E205" t="s">
        <v>14</v>
      </c>
      <c r="F205">
        <v>84</v>
      </c>
      <c r="G205">
        <v>10</v>
      </c>
      <c r="H205">
        <v>71</v>
      </c>
      <c r="I205">
        <v>8</v>
      </c>
      <c r="J205">
        <f t="shared" si="3"/>
        <v>78.25</v>
      </c>
      <c r="K205">
        <f>Table1[[#This Row],[Percentage]]/100*4</f>
        <v>3.13</v>
      </c>
      <c r="L205" t="str" cm="1">
        <f t="array" ref="L205">_xlfn.IFS(K205&gt;3.7,"A+",K205&gt;3.3,"A-",K205&gt;=2.8,"B+",K205&gt;2.3,"B-",K205&gt;=2,"C+",K205&gt;1.3,"C-",K205&gt;=1,"D+",K205&lt;=1,"F")</f>
        <v>B+</v>
      </c>
    </row>
    <row r="206" spans="1:12" x14ac:dyDescent="0.3">
      <c r="A206">
        <v>205</v>
      </c>
      <c r="B206" t="s">
        <v>215</v>
      </c>
      <c r="C206" t="s">
        <v>10</v>
      </c>
      <c r="D206">
        <v>13</v>
      </c>
      <c r="E206" t="s">
        <v>11</v>
      </c>
      <c r="F206">
        <v>7</v>
      </c>
      <c r="G206">
        <v>47</v>
      </c>
      <c r="H206">
        <v>39</v>
      </c>
      <c r="I206">
        <v>16</v>
      </c>
      <c r="J206">
        <f t="shared" si="3"/>
        <v>70.5</v>
      </c>
      <c r="K206">
        <f>Table1[[#This Row],[Percentage]]/100*4</f>
        <v>2.82</v>
      </c>
      <c r="L206" t="str" cm="1">
        <f t="array" ref="L206">_xlfn.IFS(K206&gt;3.7,"A+",K206&gt;3.3,"A-",K206&gt;=2.8,"B+",K206&gt;2.3,"B-",K206&gt;=2,"C+",K206&gt;1.3,"C-",K206&gt;=1,"D+",K206&lt;=1,"F")</f>
        <v>B+</v>
      </c>
    </row>
    <row r="207" spans="1:12" x14ac:dyDescent="0.3">
      <c r="A207">
        <v>206</v>
      </c>
      <c r="B207" t="s">
        <v>216</v>
      </c>
      <c r="C207" t="s">
        <v>13</v>
      </c>
      <c r="D207">
        <v>15</v>
      </c>
      <c r="E207" t="s">
        <v>11</v>
      </c>
      <c r="F207">
        <v>54</v>
      </c>
      <c r="G207">
        <v>89</v>
      </c>
      <c r="H207">
        <v>59</v>
      </c>
      <c r="I207">
        <v>88</v>
      </c>
      <c r="J207">
        <f t="shared" si="3"/>
        <v>99.75</v>
      </c>
      <c r="K207">
        <f>Table1[[#This Row],[Percentage]]/100*4</f>
        <v>3.99</v>
      </c>
      <c r="L207" t="str" cm="1">
        <f t="array" ref="L207">_xlfn.IFS(K207&gt;3.7,"A+",K207&gt;3.3,"A-",K207&gt;=2.8,"B+",K207&gt;2.3,"B-",K207&gt;=2,"C+",K207&gt;1.3,"C-",K207&gt;=1,"D+",K207&lt;=1,"F")</f>
        <v>A+</v>
      </c>
    </row>
    <row r="208" spans="1:12" x14ac:dyDescent="0.3">
      <c r="A208">
        <v>207</v>
      </c>
      <c r="B208" t="s">
        <v>217</v>
      </c>
      <c r="C208" t="s">
        <v>13</v>
      </c>
      <c r="D208">
        <v>14</v>
      </c>
      <c r="E208" t="s">
        <v>11</v>
      </c>
      <c r="F208">
        <v>49</v>
      </c>
      <c r="G208">
        <v>48</v>
      </c>
      <c r="H208">
        <v>81</v>
      </c>
      <c r="I208">
        <v>44</v>
      </c>
      <c r="J208">
        <f t="shared" si="3"/>
        <v>128</v>
      </c>
      <c r="K208">
        <f>Table1[[#This Row],[Percentage]]/100*4</f>
        <v>5.12</v>
      </c>
      <c r="L208" t="str" cm="1">
        <f t="array" ref="L208">_xlfn.IFS(K208&gt;3.7,"A+",K208&gt;3.3,"A-",K208&gt;=2.8,"B+",K208&gt;2.3,"B-",K208&gt;=2,"C+",K208&gt;1.3,"C-",K208&gt;=1,"D+",K208&lt;=1,"F")</f>
        <v>A+</v>
      </c>
    </row>
    <row r="209" spans="1:12" x14ac:dyDescent="0.3">
      <c r="A209">
        <v>208</v>
      </c>
      <c r="B209" t="s">
        <v>218</v>
      </c>
      <c r="C209" t="s">
        <v>13</v>
      </c>
      <c r="D209">
        <v>13</v>
      </c>
      <c r="E209" t="s">
        <v>18</v>
      </c>
      <c r="F209">
        <v>56</v>
      </c>
      <c r="G209">
        <v>12</v>
      </c>
      <c r="H209">
        <v>75</v>
      </c>
      <c r="I209">
        <v>96</v>
      </c>
      <c r="J209">
        <f t="shared" si="3"/>
        <v>115.25000000000001</v>
      </c>
      <c r="K209">
        <f>Table1[[#This Row],[Percentage]]/100*4</f>
        <v>4.6100000000000003</v>
      </c>
      <c r="L209" t="str" cm="1">
        <f t="array" ref="L209">_xlfn.IFS(K209&gt;3.7,"A+",K209&gt;3.3,"A-",K209&gt;=2.8,"B+",K209&gt;2.3,"B-",K209&gt;=2,"C+",K209&gt;1.3,"C-",K209&gt;=1,"D+",K209&lt;=1,"F")</f>
        <v>A+</v>
      </c>
    </row>
    <row r="210" spans="1:12" x14ac:dyDescent="0.3">
      <c r="A210">
        <v>209</v>
      </c>
      <c r="B210" t="s">
        <v>219</v>
      </c>
      <c r="C210" t="s">
        <v>10</v>
      </c>
      <c r="D210">
        <v>14</v>
      </c>
      <c r="E210" t="s">
        <v>11</v>
      </c>
      <c r="F210">
        <v>59</v>
      </c>
      <c r="G210">
        <v>94</v>
      </c>
      <c r="H210">
        <v>94</v>
      </c>
      <c r="I210">
        <v>47</v>
      </c>
      <c r="J210">
        <f t="shared" si="3"/>
        <v>133.25</v>
      </c>
      <c r="K210">
        <f>Table1[[#This Row],[Percentage]]/100*4</f>
        <v>5.33</v>
      </c>
      <c r="L210" t="str" cm="1">
        <f t="array" ref="L210">_xlfn.IFS(K210&gt;3.7,"A+",K210&gt;3.3,"A-",K210&gt;=2.8,"B+",K210&gt;2.3,"B-",K210&gt;=2,"C+",K210&gt;1.3,"C-",K210&gt;=1,"D+",K210&lt;=1,"F")</f>
        <v>A+</v>
      </c>
    </row>
    <row r="211" spans="1:12" x14ac:dyDescent="0.3">
      <c r="A211">
        <v>210</v>
      </c>
      <c r="B211" t="s">
        <v>220</v>
      </c>
      <c r="C211" t="s">
        <v>13</v>
      </c>
      <c r="D211">
        <v>13</v>
      </c>
      <c r="E211" t="s">
        <v>18</v>
      </c>
      <c r="F211">
        <v>7</v>
      </c>
      <c r="G211">
        <v>29</v>
      </c>
      <c r="H211">
        <v>30</v>
      </c>
      <c r="I211">
        <v>23</v>
      </c>
      <c r="J211">
        <f t="shared" si="3"/>
        <v>95.75</v>
      </c>
      <c r="K211">
        <f>Table1[[#This Row],[Percentage]]/100*4</f>
        <v>3.83</v>
      </c>
      <c r="L211" t="str" cm="1">
        <f t="array" ref="L211">_xlfn.IFS(K211&gt;3.7,"A+",K211&gt;3.3,"A-",K211&gt;=2.8,"B+",K211&gt;2.3,"B-",K211&gt;=2,"C+",K211&gt;1.3,"C-",K211&gt;=1,"D+",K211&lt;=1,"F")</f>
        <v>A+</v>
      </c>
    </row>
    <row r="212" spans="1:12" x14ac:dyDescent="0.3">
      <c r="A212">
        <v>211</v>
      </c>
      <c r="B212" t="s">
        <v>221</v>
      </c>
      <c r="C212" t="s">
        <v>13</v>
      </c>
      <c r="D212">
        <v>14</v>
      </c>
      <c r="E212" t="s">
        <v>18</v>
      </c>
      <c r="F212">
        <v>28</v>
      </c>
      <c r="G212">
        <v>30</v>
      </c>
      <c r="H212">
        <v>80</v>
      </c>
      <c r="I212">
        <v>33</v>
      </c>
      <c r="J212">
        <f t="shared" si="3"/>
        <v>65</v>
      </c>
      <c r="K212">
        <f>Table1[[#This Row],[Percentage]]/100*4</f>
        <v>2.6</v>
      </c>
      <c r="L212" t="str" cm="1">
        <f t="array" ref="L212">_xlfn.IFS(K212&gt;3.7,"A+",K212&gt;3.3,"A-",K212&gt;=2.8,"B+",K212&gt;2.3,"B-",K212&gt;=2,"C+",K212&gt;1.3,"C-",K212&gt;=1,"D+",K212&lt;=1,"F")</f>
        <v>B-</v>
      </c>
    </row>
    <row r="213" spans="1:12" x14ac:dyDescent="0.3">
      <c r="A213">
        <v>212</v>
      </c>
      <c r="B213" t="s">
        <v>222</v>
      </c>
      <c r="C213" t="s">
        <v>13</v>
      </c>
      <c r="D213">
        <v>15</v>
      </c>
      <c r="E213" t="s">
        <v>18</v>
      </c>
      <c r="F213">
        <v>85</v>
      </c>
      <c r="G213">
        <v>8</v>
      </c>
      <c r="H213">
        <v>88</v>
      </c>
      <c r="I213">
        <v>82</v>
      </c>
      <c r="J213">
        <f t="shared" si="3"/>
        <v>108.5</v>
      </c>
      <c r="K213">
        <f>Table1[[#This Row],[Percentage]]/100*4</f>
        <v>4.34</v>
      </c>
      <c r="L213" t="str" cm="1">
        <f t="array" ref="L213">_xlfn.IFS(K213&gt;3.7,"A+",K213&gt;3.3,"A-",K213&gt;=2.8,"B+",K213&gt;2.3,"B-",K213&gt;=2,"C+",K213&gt;1.3,"C-",K213&gt;=1,"D+",K213&lt;=1,"F")</f>
        <v>A+</v>
      </c>
    </row>
    <row r="214" spans="1:12" x14ac:dyDescent="0.3">
      <c r="A214">
        <v>213</v>
      </c>
      <c r="B214" t="s">
        <v>223</v>
      </c>
      <c r="C214" t="s">
        <v>13</v>
      </c>
      <c r="D214">
        <v>15</v>
      </c>
      <c r="E214" t="s">
        <v>11</v>
      </c>
      <c r="F214">
        <v>63</v>
      </c>
      <c r="G214">
        <v>92</v>
      </c>
      <c r="H214">
        <v>38</v>
      </c>
      <c r="I214">
        <v>60</v>
      </c>
      <c r="J214">
        <f t="shared" si="3"/>
        <v>129</v>
      </c>
      <c r="K214">
        <f>Table1[[#This Row],[Percentage]]/100*4</f>
        <v>5.16</v>
      </c>
      <c r="L214" t="str" cm="1">
        <f t="array" ref="L214">_xlfn.IFS(K214&gt;3.7,"A+",K214&gt;3.3,"A-",K214&gt;=2.8,"B+",K214&gt;2.3,"B-",K214&gt;=2,"C+",K214&gt;1.3,"C-",K214&gt;=1,"D+",K214&lt;=1,"F")</f>
        <v>A+</v>
      </c>
    </row>
    <row r="215" spans="1:12" x14ac:dyDescent="0.3">
      <c r="A215">
        <v>214</v>
      </c>
      <c r="B215" t="s">
        <v>224</v>
      </c>
      <c r="C215" t="s">
        <v>10</v>
      </c>
      <c r="D215">
        <v>15</v>
      </c>
      <c r="E215" t="s">
        <v>18</v>
      </c>
      <c r="F215">
        <v>87</v>
      </c>
      <c r="G215">
        <v>17</v>
      </c>
      <c r="H215">
        <v>94</v>
      </c>
      <c r="I215">
        <v>41</v>
      </c>
      <c r="J215">
        <f t="shared" si="3"/>
        <v>123</v>
      </c>
      <c r="K215">
        <f>Table1[[#This Row],[Percentage]]/100*4</f>
        <v>4.92</v>
      </c>
      <c r="L215" t="str" cm="1">
        <f t="array" ref="L215">_xlfn.IFS(K215&gt;3.7,"A+",K215&gt;3.3,"A-",K215&gt;=2.8,"B+",K215&gt;2.3,"B-",K215&gt;=2,"C+",K215&gt;1.3,"C-",K215&gt;=1,"D+",K215&lt;=1,"F")</f>
        <v>A+</v>
      </c>
    </row>
    <row r="216" spans="1:12" x14ac:dyDescent="0.3">
      <c r="A216">
        <v>215</v>
      </c>
      <c r="B216" t="s">
        <v>225</v>
      </c>
      <c r="C216" t="s">
        <v>13</v>
      </c>
      <c r="D216">
        <v>13</v>
      </c>
      <c r="E216" t="s">
        <v>11</v>
      </c>
      <c r="F216">
        <v>68</v>
      </c>
      <c r="G216">
        <v>79</v>
      </c>
      <c r="H216">
        <v>71</v>
      </c>
      <c r="I216">
        <v>41</v>
      </c>
      <c r="J216">
        <f t="shared" si="3"/>
        <v>124.50000000000001</v>
      </c>
      <c r="K216">
        <f>Table1[[#This Row],[Percentage]]/100*4</f>
        <v>4.9800000000000004</v>
      </c>
      <c r="L216" t="str" cm="1">
        <f t="array" ref="L216">_xlfn.IFS(K216&gt;3.7,"A+",K216&gt;3.3,"A-",K216&gt;=2.8,"B+",K216&gt;2.3,"B-",K216&gt;=2,"C+",K216&gt;1.3,"C-",K216&gt;=1,"D+",K216&lt;=1,"F")</f>
        <v>A+</v>
      </c>
    </row>
    <row r="217" spans="1:12" x14ac:dyDescent="0.3">
      <c r="A217">
        <v>216</v>
      </c>
      <c r="B217" t="s">
        <v>226</v>
      </c>
      <c r="C217" t="s">
        <v>13</v>
      </c>
      <c r="D217">
        <v>15</v>
      </c>
      <c r="E217" t="s">
        <v>18</v>
      </c>
      <c r="F217">
        <v>5</v>
      </c>
      <c r="G217">
        <v>86</v>
      </c>
      <c r="H217">
        <v>48</v>
      </c>
      <c r="I217">
        <v>57</v>
      </c>
      <c r="J217">
        <f t="shared" si="3"/>
        <v>113.75</v>
      </c>
      <c r="K217">
        <f>Table1[[#This Row],[Percentage]]/100*4</f>
        <v>4.55</v>
      </c>
      <c r="L217" t="str" cm="1">
        <f t="array" ref="L217">_xlfn.IFS(K217&gt;3.7,"A+",K217&gt;3.3,"A-",K217&gt;=2.8,"B+",K217&gt;2.3,"B-",K217&gt;=2,"C+",K217&gt;1.3,"C-",K217&gt;=1,"D+",K217&lt;=1,"F")</f>
        <v>A+</v>
      </c>
    </row>
    <row r="218" spans="1:12" x14ac:dyDescent="0.3">
      <c r="A218">
        <v>217</v>
      </c>
      <c r="B218" t="s">
        <v>227</v>
      </c>
      <c r="C218" t="s">
        <v>10</v>
      </c>
      <c r="D218">
        <v>14</v>
      </c>
      <c r="E218" t="s">
        <v>18</v>
      </c>
      <c r="F218">
        <v>71</v>
      </c>
      <c r="G218">
        <v>88</v>
      </c>
      <c r="H218">
        <v>44</v>
      </c>
      <c r="I218">
        <v>13</v>
      </c>
      <c r="J218">
        <f t="shared" si="3"/>
        <v>103</v>
      </c>
      <c r="K218">
        <f>Table1[[#This Row],[Percentage]]/100*4</f>
        <v>4.12</v>
      </c>
      <c r="L218" t="str" cm="1">
        <f t="array" ref="L218">_xlfn.IFS(K218&gt;3.7,"A+",K218&gt;3.3,"A-",K218&gt;=2.8,"B+",K218&gt;2.3,"B-",K218&gt;=2,"C+",K218&gt;1.3,"C-",K218&gt;=1,"D+",K218&lt;=1,"F")</f>
        <v>A+</v>
      </c>
    </row>
    <row r="219" spans="1:12" x14ac:dyDescent="0.3">
      <c r="A219">
        <v>218</v>
      </c>
      <c r="B219" t="s">
        <v>228</v>
      </c>
      <c r="C219" t="s">
        <v>13</v>
      </c>
      <c r="D219">
        <v>13</v>
      </c>
      <c r="E219" t="s">
        <v>14</v>
      </c>
      <c r="F219">
        <v>72</v>
      </c>
      <c r="G219">
        <v>46</v>
      </c>
      <c r="H219">
        <v>40</v>
      </c>
      <c r="I219">
        <v>90</v>
      </c>
      <c r="J219">
        <f t="shared" si="3"/>
        <v>115.99999999999999</v>
      </c>
      <c r="K219">
        <f>Table1[[#This Row],[Percentage]]/100*4</f>
        <v>4.6399999999999997</v>
      </c>
      <c r="L219" t="str" cm="1">
        <f t="array" ref="L219">_xlfn.IFS(K219&gt;3.7,"A+",K219&gt;3.3,"A-",K219&gt;=2.8,"B+",K219&gt;2.3,"B-",K219&gt;=2,"C+",K219&gt;1.3,"C-",K219&gt;=1,"D+",K219&lt;=1,"F")</f>
        <v>A+</v>
      </c>
    </row>
    <row r="220" spans="1:12" x14ac:dyDescent="0.3">
      <c r="A220">
        <v>219</v>
      </c>
      <c r="B220" t="s">
        <v>229</v>
      </c>
      <c r="C220" t="s">
        <v>13</v>
      </c>
      <c r="D220">
        <v>14</v>
      </c>
      <c r="E220" t="s">
        <v>11</v>
      </c>
      <c r="F220">
        <v>58</v>
      </c>
      <c r="G220">
        <v>60</v>
      </c>
      <c r="H220">
        <v>7</v>
      </c>
      <c r="I220">
        <v>90</v>
      </c>
      <c r="J220">
        <f t="shared" si="3"/>
        <v>115.75</v>
      </c>
      <c r="K220">
        <f>Table1[[#This Row],[Percentage]]/100*4</f>
        <v>4.63</v>
      </c>
      <c r="L220" t="str" cm="1">
        <f t="array" ref="L220">_xlfn.IFS(K220&gt;3.7,"A+",K220&gt;3.3,"A-",K220&gt;=2.8,"B+",K220&gt;2.3,"B-",K220&gt;=2,"C+",K220&gt;1.3,"C-",K220&gt;=1,"D+",K220&lt;=1,"F")</f>
        <v>A+</v>
      </c>
    </row>
    <row r="221" spans="1:12" x14ac:dyDescent="0.3">
      <c r="A221">
        <v>220</v>
      </c>
      <c r="B221" t="s">
        <v>230</v>
      </c>
      <c r="C221" t="s">
        <v>13</v>
      </c>
      <c r="D221">
        <v>13</v>
      </c>
      <c r="E221" t="s">
        <v>14</v>
      </c>
      <c r="F221">
        <v>81</v>
      </c>
      <c r="G221">
        <v>63</v>
      </c>
      <c r="H221">
        <v>16</v>
      </c>
      <c r="I221">
        <v>62</v>
      </c>
      <c r="J221">
        <f t="shared" si="3"/>
        <v>109.25</v>
      </c>
      <c r="K221">
        <f>Table1[[#This Row],[Percentage]]/100*4</f>
        <v>4.37</v>
      </c>
      <c r="L221" t="str" cm="1">
        <f t="array" ref="L221">_xlfn.IFS(K221&gt;3.7,"A+",K221&gt;3.3,"A-",K221&gt;=2.8,"B+",K221&gt;2.3,"B-",K221&gt;=2,"C+",K221&gt;1.3,"C-",K221&gt;=1,"D+",K221&lt;=1,"F")</f>
        <v>A+</v>
      </c>
    </row>
    <row r="222" spans="1:12" x14ac:dyDescent="0.3">
      <c r="A222">
        <v>221</v>
      </c>
      <c r="B222" t="s">
        <v>231</v>
      </c>
      <c r="C222" t="s">
        <v>13</v>
      </c>
      <c r="D222">
        <v>14</v>
      </c>
      <c r="E222" t="s">
        <v>18</v>
      </c>
      <c r="F222">
        <v>6</v>
      </c>
      <c r="G222">
        <v>53</v>
      </c>
      <c r="H222">
        <v>71</v>
      </c>
      <c r="I222">
        <v>21</v>
      </c>
      <c r="J222">
        <f t="shared" si="3"/>
        <v>93.25</v>
      </c>
      <c r="K222">
        <f>Table1[[#This Row],[Percentage]]/100*4</f>
        <v>3.73</v>
      </c>
      <c r="L222" t="str" cm="1">
        <f t="array" ref="L222">_xlfn.IFS(K222&gt;3.7,"A+",K222&gt;3.3,"A-",K222&gt;=2.8,"B+",K222&gt;2.3,"B-",K222&gt;=2,"C+",K222&gt;1.3,"C-",K222&gt;=1,"D+",K222&lt;=1,"F")</f>
        <v>A+</v>
      </c>
    </row>
    <row r="223" spans="1:12" x14ac:dyDescent="0.3">
      <c r="A223">
        <v>222</v>
      </c>
      <c r="B223" t="s">
        <v>232</v>
      </c>
      <c r="C223" t="s">
        <v>10</v>
      </c>
      <c r="D223">
        <v>13</v>
      </c>
      <c r="E223" t="s">
        <v>18</v>
      </c>
      <c r="F223">
        <v>60</v>
      </c>
      <c r="G223">
        <v>52</v>
      </c>
      <c r="H223">
        <v>85</v>
      </c>
      <c r="I223">
        <v>39</v>
      </c>
      <c r="J223">
        <f t="shared" si="3"/>
        <v>96.75</v>
      </c>
      <c r="K223">
        <f>Table1[[#This Row],[Percentage]]/100*4</f>
        <v>3.87</v>
      </c>
      <c r="L223" t="str" cm="1">
        <f t="array" ref="L223">_xlfn.IFS(K223&gt;3.7,"A+",K223&gt;3.3,"A-",K223&gt;=2.8,"B+",K223&gt;2.3,"B-",K223&gt;=2,"C+",K223&gt;1.3,"C-",K223&gt;=1,"D+",K223&lt;=1,"F")</f>
        <v>A+</v>
      </c>
    </row>
    <row r="224" spans="1:12" x14ac:dyDescent="0.3">
      <c r="A224">
        <v>223</v>
      </c>
      <c r="B224" t="s">
        <v>233</v>
      </c>
      <c r="C224" t="s">
        <v>10</v>
      </c>
      <c r="D224">
        <v>15</v>
      </c>
      <c r="E224" t="s">
        <v>14</v>
      </c>
      <c r="F224">
        <v>92</v>
      </c>
      <c r="G224">
        <v>76</v>
      </c>
      <c r="H224">
        <v>72</v>
      </c>
      <c r="I224">
        <v>71</v>
      </c>
      <c r="J224">
        <f t="shared" si="3"/>
        <v>136.75</v>
      </c>
      <c r="K224">
        <f>Table1[[#This Row],[Percentage]]/100*4</f>
        <v>5.47</v>
      </c>
      <c r="L224" t="str" cm="1">
        <f t="array" ref="L224">_xlfn.IFS(K224&gt;3.7,"A+",K224&gt;3.3,"A-",K224&gt;=2.8,"B+",K224&gt;2.3,"B-",K224&gt;=2,"C+",K224&gt;1.3,"C-",K224&gt;=1,"D+",K224&lt;=1,"F")</f>
        <v>A+</v>
      </c>
    </row>
    <row r="225" spans="1:12" x14ac:dyDescent="0.3">
      <c r="A225">
        <v>224</v>
      </c>
      <c r="B225" t="s">
        <v>234</v>
      </c>
      <c r="C225" t="s">
        <v>10</v>
      </c>
      <c r="D225">
        <v>13</v>
      </c>
      <c r="E225" t="s">
        <v>18</v>
      </c>
      <c r="F225">
        <v>100</v>
      </c>
      <c r="G225">
        <v>95</v>
      </c>
      <c r="H225">
        <v>36</v>
      </c>
      <c r="I225">
        <v>10</v>
      </c>
      <c r="J225">
        <f t="shared" si="3"/>
        <v>138</v>
      </c>
      <c r="K225">
        <f>Table1[[#This Row],[Percentage]]/100*4</f>
        <v>5.52</v>
      </c>
      <c r="L225" t="str" cm="1">
        <f t="array" ref="L225">_xlfn.IFS(K225&gt;3.7,"A+",K225&gt;3.3,"A-",K225&gt;=2.8,"B+",K225&gt;2.3,"B-",K225&gt;=2,"C+",K225&gt;1.3,"C-",K225&gt;=1,"D+",K225&lt;=1,"F")</f>
        <v>A+</v>
      </c>
    </row>
    <row r="226" spans="1:12" x14ac:dyDescent="0.3">
      <c r="A226">
        <v>225</v>
      </c>
      <c r="B226" t="s">
        <v>235</v>
      </c>
      <c r="C226" t="s">
        <v>10</v>
      </c>
      <c r="D226">
        <v>13</v>
      </c>
      <c r="E226" t="s">
        <v>11</v>
      </c>
      <c r="F226">
        <v>84</v>
      </c>
      <c r="G226">
        <v>10</v>
      </c>
      <c r="H226">
        <v>82</v>
      </c>
      <c r="I226">
        <v>93</v>
      </c>
      <c r="J226">
        <f t="shared" si="3"/>
        <v>127.49999999999999</v>
      </c>
      <c r="K226">
        <f>Table1[[#This Row],[Percentage]]/100*4</f>
        <v>5.0999999999999996</v>
      </c>
      <c r="L226" t="str" cm="1">
        <f t="array" ref="L226">_xlfn.IFS(K226&gt;3.7,"A+",K226&gt;3.3,"A-",K226&gt;=2.8,"B+",K226&gt;2.3,"B-",K226&gt;=2,"C+",K226&gt;1.3,"C-",K226&gt;=1,"D+",K226&lt;=1,"F")</f>
        <v>A+</v>
      </c>
    </row>
    <row r="227" spans="1:12" x14ac:dyDescent="0.3">
      <c r="A227">
        <v>226</v>
      </c>
      <c r="B227" t="s">
        <v>236</v>
      </c>
      <c r="C227" t="s">
        <v>10</v>
      </c>
      <c r="D227">
        <v>15</v>
      </c>
      <c r="E227" t="s">
        <v>14</v>
      </c>
      <c r="F227">
        <v>16</v>
      </c>
      <c r="G227">
        <v>4</v>
      </c>
      <c r="H227">
        <v>49</v>
      </c>
      <c r="I227">
        <v>1</v>
      </c>
      <c r="J227">
        <f t="shared" si="3"/>
        <v>84.75</v>
      </c>
      <c r="K227">
        <f>Table1[[#This Row],[Percentage]]/100*4</f>
        <v>3.39</v>
      </c>
      <c r="L227" t="str" cm="1">
        <f t="array" ref="L227">_xlfn.IFS(K227&gt;3.7,"A+",K227&gt;3.3,"A-",K227&gt;=2.8,"B+",K227&gt;2.3,"B-",K227&gt;=2,"C+",K227&gt;1.3,"C-",K227&gt;=1,"D+",K227&lt;=1,"F")</f>
        <v>A-</v>
      </c>
    </row>
    <row r="228" spans="1:12" x14ac:dyDescent="0.3">
      <c r="A228">
        <v>227</v>
      </c>
      <c r="B228" t="s">
        <v>237</v>
      </c>
      <c r="C228" t="s">
        <v>10</v>
      </c>
      <c r="D228">
        <v>14</v>
      </c>
      <c r="E228" t="s">
        <v>11</v>
      </c>
      <c r="F228">
        <v>22</v>
      </c>
      <c r="G228">
        <v>26</v>
      </c>
      <c r="H228">
        <v>1</v>
      </c>
      <c r="I228">
        <v>28</v>
      </c>
      <c r="J228">
        <f t="shared" si="3"/>
        <v>36.75</v>
      </c>
      <c r="K228">
        <f>Table1[[#This Row],[Percentage]]/100*4</f>
        <v>1.47</v>
      </c>
      <c r="L228" t="str" cm="1">
        <f t="array" ref="L228">_xlfn.IFS(K228&gt;3.7,"A+",K228&gt;3.3,"A-",K228&gt;=2.8,"B+",K228&gt;2.3,"B-",K228&gt;=2,"C+",K228&gt;1.3,"C-",K228&gt;=1,"D+",K228&lt;=1,"F")</f>
        <v>C-</v>
      </c>
    </row>
    <row r="229" spans="1:12" x14ac:dyDescent="0.3">
      <c r="A229">
        <v>228</v>
      </c>
      <c r="B229" t="s">
        <v>238</v>
      </c>
      <c r="C229" t="s">
        <v>10</v>
      </c>
      <c r="D229">
        <v>14</v>
      </c>
      <c r="E229" t="s">
        <v>14</v>
      </c>
      <c r="F229">
        <v>78</v>
      </c>
      <c r="G229">
        <v>63</v>
      </c>
      <c r="H229">
        <v>62</v>
      </c>
      <c r="I229">
        <v>38</v>
      </c>
      <c r="J229">
        <f t="shared" si="3"/>
        <v>79.5</v>
      </c>
      <c r="K229">
        <f>Table1[[#This Row],[Percentage]]/100*4</f>
        <v>3.18</v>
      </c>
      <c r="L229" t="str" cm="1">
        <f t="array" ref="L229">_xlfn.IFS(K229&gt;3.7,"A+",K229&gt;3.3,"A-",K229&gt;=2.8,"B+",K229&gt;2.3,"B-",K229&gt;=2,"C+",K229&gt;1.3,"C-",K229&gt;=1,"D+",K229&lt;=1,"F")</f>
        <v>B+</v>
      </c>
    </row>
    <row r="230" spans="1:12" x14ac:dyDescent="0.3">
      <c r="A230">
        <v>229</v>
      </c>
      <c r="B230" t="s">
        <v>239</v>
      </c>
      <c r="C230" t="s">
        <v>10</v>
      </c>
      <c r="D230">
        <v>14</v>
      </c>
      <c r="E230" t="s">
        <v>11</v>
      </c>
      <c r="F230">
        <v>4</v>
      </c>
      <c r="G230">
        <v>15</v>
      </c>
      <c r="H230">
        <v>6</v>
      </c>
      <c r="I230">
        <v>32</v>
      </c>
      <c r="J230">
        <f t="shared" si="3"/>
        <v>74.5</v>
      </c>
      <c r="K230">
        <f>Table1[[#This Row],[Percentage]]/100*4</f>
        <v>2.98</v>
      </c>
      <c r="L230" t="str" cm="1">
        <f t="array" ref="L230">_xlfn.IFS(K230&gt;3.7,"A+",K230&gt;3.3,"A-",K230&gt;=2.8,"B+",K230&gt;2.3,"B-",K230&gt;=2,"C+",K230&gt;1.3,"C-",K230&gt;=1,"D+",K230&lt;=1,"F")</f>
        <v>B+</v>
      </c>
    </row>
    <row r="231" spans="1:12" x14ac:dyDescent="0.3">
      <c r="A231">
        <v>230</v>
      </c>
      <c r="B231" t="s">
        <v>240</v>
      </c>
      <c r="C231" t="s">
        <v>13</v>
      </c>
      <c r="D231">
        <v>15</v>
      </c>
      <c r="E231" t="s">
        <v>11</v>
      </c>
      <c r="F231">
        <v>15</v>
      </c>
      <c r="G231">
        <v>26</v>
      </c>
      <c r="H231">
        <v>83</v>
      </c>
      <c r="I231">
        <v>75</v>
      </c>
      <c r="J231">
        <f t="shared" si="3"/>
        <v>64</v>
      </c>
      <c r="K231">
        <f>Table1[[#This Row],[Percentage]]/100*4</f>
        <v>2.56</v>
      </c>
      <c r="L231" t="str" cm="1">
        <f t="array" ref="L231">_xlfn.IFS(K231&gt;3.7,"A+",K231&gt;3.3,"A-",K231&gt;=2.8,"B+",K231&gt;2.3,"B-",K231&gt;=2,"C+",K231&gt;1.3,"C-",K231&gt;=1,"D+",K231&lt;=1,"F")</f>
        <v>B-</v>
      </c>
    </row>
    <row r="232" spans="1:12" x14ac:dyDescent="0.3">
      <c r="A232">
        <v>231</v>
      </c>
      <c r="B232" t="s">
        <v>241</v>
      </c>
      <c r="C232" t="s">
        <v>13</v>
      </c>
      <c r="D232">
        <v>15</v>
      </c>
      <c r="E232" t="s">
        <v>14</v>
      </c>
      <c r="F232">
        <v>50</v>
      </c>
      <c r="G232">
        <v>70</v>
      </c>
      <c r="H232">
        <v>31</v>
      </c>
      <c r="I232">
        <v>98</v>
      </c>
      <c r="J232">
        <f t="shared" si="3"/>
        <v>112.00000000000001</v>
      </c>
      <c r="K232">
        <f>Table1[[#This Row],[Percentage]]/100*4</f>
        <v>4.4800000000000004</v>
      </c>
      <c r="L232" t="str" cm="1">
        <f t="array" ref="L232">_xlfn.IFS(K232&gt;3.7,"A+",K232&gt;3.3,"A-",K232&gt;=2.8,"B+",K232&gt;2.3,"B-",K232&gt;=2,"C+",K232&gt;1.3,"C-",K232&gt;=1,"D+",K232&lt;=1,"F")</f>
        <v>A+</v>
      </c>
    </row>
    <row r="233" spans="1:12" x14ac:dyDescent="0.3">
      <c r="A233">
        <v>232</v>
      </c>
      <c r="B233" t="s">
        <v>242</v>
      </c>
      <c r="C233" t="s">
        <v>13</v>
      </c>
      <c r="D233">
        <v>13</v>
      </c>
      <c r="E233" t="s">
        <v>18</v>
      </c>
      <c r="F233">
        <v>81</v>
      </c>
      <c r="G233">
        <v>45</v>
      </c>
      <c r="H233">
        <v>22</v>
      </c>
      <c r="I233">
        <v>36</v>
      </c>
      <c r="J233">
        <f t="shared" si="3"/>
        <v>108.25</v>
      </c>
      <c r="K233">
        <f>Table1[[#This Row],[Percentage]]/100*4</f>
        <v>4.33</v>
      </c>
      <c r="L233" t="str" cm="1">
        <f t="array" ref="L233">_xlfn.IFS(K233&gt;3.7,"A+",K233&gt;3.3,"A-",K233&gt;=2.8,"B+",K233&gt;2.3,"B-",K233&gt;=2,"C+",K233&gt;1.3,"C-",K233&gt;=1,"D+",K233&lt;=1,"F")</f>
        <v>A+</v>
      </c>
    </row>
    <row r="234" spans="1:12" x14ac:dyDescent="0.3">
      <c r="A234">
        <v>233</v>
      </c>
      <c r="B234" t="s">
        <v>243</v>
      </c>
      <c r="C234" t="s">
        <v>13</v>
      </c>
      <c r="D234">
        <v>14</v>
      </c>
      <c r="E234" t="s">
        <v>14</v>
      </c>
      <c r="F234">
        <v>65</v>
      </c>
      <c r="G234">
        <v>32</v>
      </c>
      <c r="H234">
        <v>67</v>
      </c>
      <c r="I234">
        <v>35</v>
      </c>
      <c r="J234">
        <f t="shared" si="3"/>
        <v>95.75</v>
      </c>
      <c r="K234">
        <f>Table1[[#This Row],[Percentage]]/100*4</f>
        <v>3.83</v>
      </c>
      <c r="L234" t="str" cm="1">
        <f t="array" ref="L234">_xlfn.IFS(K234&gt;3.7,"A+",K234&gt;3.3,"A-",K234&gt;=2.8,"B+",K234&gt;2.3,"B-",K234&gt;=2,"C+",K234&gt;1.3,"C-",K234&gt;=1,"D+",K234&lt;=1,"F")</f>
        <v>A+</v>
      </c>
    </row>
    <row r="235" spans="1:12" x14ac:dyDescent="0.3">
      <c r="A235">
        <v>234</v>
      </c>
      <c r="B235" t="s">
        <v>244</v>
      </c>
      <c r="C235" t="s">
        <v>13</v>
      </c>
      <c r="D235">
        <v>15</v>
      </c>
      <c r="E235" t="s">
        <v>11</v>
      </c>
      <c r="F235">
        <v>91</v>
      </c>
      <c r="G235">
        <v>33</v>
      </c>
      <c r="H235">
        <v>71</v>
      </c>
      <c r="I235">
        <v>81</v>
      </c>
      <c r="J235">
        <f t="shared" si="3"/>
        <v>118.75</v>
      </c>
      <c r="K235">
        <f>Table1[[#This Row],[Percentage]]/100*4</f>
        <v>4.75</v>
      </c>
      <c r="L235" t="str" cm="1">
        <f t="array" ref="L235">_xlfn.IFS(K235&gt;3.7,"A+",K235&gt;3.3,"A-",K235&gt;=2.8,"B+",K235&gt;2.3,"B-",K235&gt;=2,"C+",K235&gt;1.3,"C-",K235&gt;=1,"D+",K235&lt;=1,"F")</f>
        <v>A+</v>
      </c>
    </row>
    <row r="236" spans="1:12" x14ac:dyDescent="0.3">
      <c r="A236">
        <v>235</v>
      </c>
      <c r="B236" t="s">
        <v>245</v>
      </c>
      <c r="C236" t="s">
        <v>13</v>
      </c>
      <c r="D236">
        <v>13</v>
      </c>
      <c r="E236" t="s">
        <v>11</v>
      </c>
      <c r="F236">
        <v>31</v>
      </c>
      <c r="G236">
        <v>9</v>
      </c>
      <c r="H236">
        <v>79</v>
      </c>
      <c r="I236">
        <v>54</v>
      </c>
      <c r="J236">
        <f t="shared" si="3"/>
        <v>112.25</v>
      </c>
      <c r="K236">
        <f>Table1[[#This Row],[Percentage]]/100*4</f>
        <v>4.49</v>
      </c>
      <c r="L236" t="str" cm="1">
        <f t="array" ref="L236">_xlfn.IFS(K236&gt;3.7,"A+",K236&gt;3.3,"A-",K236&gt;=2.8,"B+",K236&gt;2.3,"B-",K236&gt;=2,"C+",K236&gt;1.3,"C-",K236&gt;=1,"D+",K236&lt;=1,"F")</f>
        <v>A+</v>
      </c>
    </row>
    <row r="237" spans="1:12" x14ac:dyDescent="0.3">
      <c r="A237">
        <v>236</v>
      </c>
      <c r="B237" t="s">
        <v>246</v>
      </c>
      <c r="C237" t="s">
        <v>10</v>
      </c>
      <c r="D237">
        <v>15</v>
      </c>
      <c r="E237" t="s">
        <v>14</v>
      </c>
      <c r="F237">
        <v>98</v>
      </c>
      <c r="G237">
        <v>30</v>
      </c>
      <c r="H237">
        <v>37</v>
      </c>
      <c r="I237">
        <v>56</v>
      </c>
      <c r="J237">
        <f t="shared" si="3"/>
        <v>98.5</v>
      </c>
      <c r="K237">
        <f>Table1[[#This Row],[Percentage]]/100*4</f>
        <v>3.94</v>
      </c>
      <c r="L237" t="str" cm="1">
        <f t="array" ref="L237">_xlfn.IFS(K237&gt;3.7,"A+",K237&gt;3.3,"A-",K237&gt;=2.8,"B+",K237&gt;2.3,"B-",K237&gt;=2,"C+",K237&gt;1.3,"C-",K237&gt;=1,"D+",K237&lt;=1,"F")</f>
        <v>A+</v>
      </c>
    </row>
    <row r="238" spans="1:12" x14ac:dyDescent="0.3">
      <c r="A238">
        <v>237</v>
      </c>
      <c r="B238" t="s">
        <v>247</v>
      </c>
      <c r="C238" t="s">
        <v>13</v>
      </c>
      <c r="D238">
        <v>15</v>
      </c>
      <c r="E238" t="s">
        <v>11</v>
      </c>
      <c r="F238">
        <v>92</v>
      </c>
      <c r="G238">
        <v>87</v>
      </c>
      <c r="H238">
        <v>38</v>
      </c>
      <c r="I238">
        <v>53</v>
      </c>
      <c r="J238">
        <f t="shared" si="3"/>
        <v>122.75</v>
      </c>
      <c r="K238">
        <f>Table1[[#This Row],[Percentage]]/100*4</f>
        <v>4.91</v>
      </c>
      <c r="L238" t="str" cm="1">
        <f t="array" ref="L238">_xlfn.IFS(K238&gt;3.7,"A+",K238&gt;3.3,"A-",K238&gt;=2.8,"B+",K238&gt;2.3,"B-",K238&gt;=2,"C+",K238&gt;1.3,"C-",K238&gt;=1,"D+",K238&lt;=1,"F")</f>
        <v>A+</v>
      </c>
    </row>
    <row r="239" spans="1:12" x14ac:dyDescent="0.3">
      <c r="A239">
        <v>238</v>
      </c>
      <c r="B239" t="s">
        <v>248</v>
      </c>
      <c r="C239" t="s">
        <v>10</v>
      </c>
      <c r="D239">
        <v>15</v>
      </c>
      <c r="E239" t="s">
        <v>18</v>
      </c>
      <c r="F239">
        <v>54</v>
      </c>
      <c r="G239">
        <v>34</v>
      </c>
      <c r="H239">
        <v>66</v>
      </c>
      <c r="I239">
        <v>97</v>
      </c>
      <c r="J239">
        <f t="shared" si="3"/>
        <v>130.25</v>
      </c>
      <c r="K239">
        <f>Table1[[#This Row],[Percentage]]/100*4</f>
        <v>5.21</v>
      </c>
      <c r="L239" t="str" cm="1">
        <f t="array" ref="L239">_xlfn.IFS(K239&gt;3.7,"A+",K239&gt;3.3,"A-",K239&gt;=2.8,"B+",K239&gt;2.3,"B-",K239&gt;=2,"C+",K239&gt;1.3,"C-",K239&gt;=1,"D+",K239&lt;=1,"F")</f>
        <v>A+</v>
      </c>
    </row>
    <row r="240" spans="1:12" x14ac:dyDescent="0.3">
      <c r="A240">
        <v>239</v>
      </c>
      <c r="B240" t="s">
        <v>249</v>
      </c>
      <c r="C240" t="s">
        <v>10</v>
      </c>
      <c r="D240">
        <v>14</v>
      </c>
      <c r="E240" t="s">
        <v>18</v>
      </c>
      <c r="F240">
        <v>49</v>
      </c>
      <c r="G240">
        <v>47</v>
      </c>
      <c r="H240">
        <v>19</v>
      </c>
      <c r="I240">
        <v>55</v>
      </c>
      <c r="J240">
        <f t="shared" si="3"/>
        <v>105.25</v>
      </c>
      <c r="K240">
        <f>Table1[[#This Row],[Percentage]]/100*4</f>
        <v>4.21</v>
      </c>
      <c r="L240" t="str" cm="1">
        <f t="array" ref="L240">_xlfn.IFS(K240&gt;3.7,"A+",K240&gt;3.3,"A-",K240&gt;=2.8,"B+",K240&gt;2.3,"B-",K240&gt;=2,"C+",K240&gt;1.3,"C-",K240&gt;=1,"D+",K240&lt;=1,"F")</f>
        <v>A+</v>
      </c>
    </row>
    <row r="241" spans="1:12" x14ac:dyDescent="0.3">
      <c r="A241">
        <v>240</v>
      </c>
      <c r="B241" t="s">
        <v>250</v>
      </c>
      <c r="C241" t="s">
        <v>13</v>
      </c>
      <c r="D241">
        <v>15</v>
      </c>
      <c r="E241" t="s">
        <v>11</v>
      </c>
      <c r="F241">
        <v>2</v>
      </c>
      <c r="G241">
        <v>4</v>
      </c>
      <c r="H241">
        <v>48</v>
      </c>
      <c r="I241">
        <v>46</v>
      </c>
      <c r="J241">
        <f t="shared" si="3"/>
        <v>67.5</v>
      </c>
      <c r="K241">
        <f>Table1[[#This Row],[Percentage]]/100*4</f>
        <v>2.7</v>
      </c>
      <c r="L241" t="str" cm="1">
        <f t="array" ref="L241">_xlfn.IFS(K241&gt;3.7,"A+",K241&gt;3.3,"A-",K241&gt;=2.8,"B+",K241&gt;2.3,"B-",K241&gt;=2,"C+",K241&gt;1.3,"C-",K241&gt;=1,"D+",K241&lt;=1,"F")</f>
        <v>B-</v>
      </c>
    </row>
    <row r="242" spans="1:12" x14ac:dyDescent="0.3">
      <c r="A242">
        <v>241</v>
      </c>
      <c r="B242" t="s">
        <v>251</v>
      </c>
      <c r="C242" t="s">
        <v>13</v>
      </c>
      <c r="D242">
        <v>14</v>
      </c>
      <c r="E242" t="s">
        <v>11</v>
      </c>
      <c r="F242">
        <v>76</v>
      </c>
      <c r="G242">
        <v>15</v>
      </c>
      <c r="H242">
        <v>70</v>
      </c>
      <c r="I242">
        <v>35</v>
      </c>
      <c r="J242">
        <f t="shared" si="3"/>
        <v>74</v>
      </c>
      <c r="K242">
        <f>Table1[[#This Row],[Percentage]]/100*4</f>
        <v>2.96</v>
      </c>
      <c r="L242" t="str" cm="1">
        <f t="array" ref="L242">_xlfn.IFS(K242&gt;3.7,"A+",K242&gt;3.3,"A-",K242&gt;=2.8,"B+",K242&gt;2.3,"B-",K242&gt;=2,"C+",K242&gt;1.3,"C-",K242&gt;=1,"D+",K242&lt;=1,"F")</f>
        <v>B+</v>
      </c>
    </row>
    <row r="243" spans="1:12" x14ac:dyDescent="0.3">
      <c r="A243">
        <v>242</v>
      </c>
      <c r="B243" t="s">
        <v>252</v>
      </c>
      <c r="C243" t="s">
        <v>13</v>
      </c>
      <c r="D243">
        <v>15</v>
      </c>
      <c r="E243" t="s">
        <v>11</v>
      </c>
      <c r="F243">
        <v>3</v>
      </c>
      <c r="G243">
        <v>49</v>
      </c>
      <c r="H243">
        <v>67</v>
      </c>
      <c r="I243">
        <v>96</v>
      </c>
      <c r="J243">
        <f t="shared" si="3"/>
        <v>102.75000000000001</v>
      </c>
      <c r="K243">
        <f>Table1[[#This Row],[Percentage]]/100*4</f>
        <v>4.1100000000000003</v>
      </c>
      <c r="L243" t="str" cm="1">
        <f t="array" ref="L243">_xlfn.IFS(K243&gt;3.7,"A+",K243&gt;3.3,"A-",K243&gt;=2.8,"B+",K243&gt;2.3,"B-",K243&gt;=2,"C+",K243&gt;1.3,"C-",K243&gt;=1,"D+",K243&lt;=1,"F")</f>
        <v>A+</v>
      </c>
    </row>
    <row r="244" spans="1:12" x14ac:dyDescent="0.3">
      <c r="A244">
        <v>243</v>
      </c>
      <c r="B244" t="s">
        <v>253</v>
      </c>
      <c r="C244" t="s">
        <v>10</v>
      </c>
      <c r="D244">
        <v>13</v>
      </c>
      <c r="E244" t="s">
        <v>14</v>
      </c>
      <c r="F244">
        <v>17</v>
      </c>
      <c r="G244">
        <v>24</v>
      </c>
      <c r="H244">
        <v>41</v>
      </c>
      <c r="I244">
        <v>21</v>
      </c>
      <c r="J244">
        <f t="shared" si="3"/>
        <v>79.5</v>
      </c>
      <c r="K244">
        <f>Table1[[#This Row],[Percentage]]/100*4</f>
        <v>3.18</v>
      </c>
      <c r="L244" t="str" cm="1">
        <f t="array" ref="L244">_xlfn.IFS(K244&gt;3.7,"A+",K244&gt;3.3,"A-",K244&gt;=2.8,"B+",K244&gt;2.3,"B-",K244&gt;=2,"C+",K244&gt;1.3,"C-",K244&gt;=1,"D+",K244&lt;=1,"F")</f>
        <v>B+</v>
      </c>
    </row>
    <row r="245" spans="1:12" x14ac:dyDescent="0.3">
      <c r="A245">
        <v>244</v>
      </c>
      <c r="B245" t="s">
        <v>254</v>
      </c>
      <c r="C245" t="s">
        <v>13</v>
      </c>
      <c r="D245">
        <v>13</v>
      </c>
      <c r="E245" t="s">
        <v>11</v>
      </c>
      <c r="F245">
        <v>95</v>
      </c>
      <c r="G245">
        <v>63</v>
      </c>
      <c r="H245">
        <v>65</v>
      </c>
      <c r="I245">
        <v>71</v>
      </c>
      <c r="J245">
        <f t="shared" si="3"/>
        <v>99.25</v>
      </c>
      <c r="K245">
        <f>Table1[[#This Row],[Percentage]]/100*4</f>
        <v>3.97</v>
      </c>
      <c r="L245" t="str" cm="1">
        <f t="array" ref="L245">_xlfn.IFS(K245&gt;3.7,"A+",K245&gt;3.3,"A-",K245&gt;=2.8,"B+",K245&gt;2.3,"B-",K245&gt;=2,"C+",K245&gt;1.3,"C-",K245&gt;=1,"D+",K245&lt;=1,"F")</f>
        <v>A+</v>
      </c>
    </row>
    <row r="246" spans="1:12" x14ac:dyDescent="0.3">
      <c r="A246">
        <v>245</v>
      </c>
      <c r="B246" t="s">
        <v>255</v>
      </c>
      <c r="C246" t="s">
        <v>10</v>
      </c>
      <c r="D246">
        <v>15</v>
      </c>
      <c r="E246" t="s">
        <v>11</v>
      </c>
      <c r="F246">
        <v>11</v>
      </c>
      <c r="G246">
        <v>53</v>
      </c>
      <c r="H246">
        <v>15</v>
      </c>
      <c r="I246">
        <v>13</v>
      </c>
      <c r="J246">
        <f t="shared" si="3"/>
        <v>96.5</v>
      </c>
      <c r="K246">
        <f>Table1[[#This Row],[Percentage]]/100*4</f>
        <v>3.86</v>
      </c>
      <c r="L246" t="str" cm="1">
        <f t="array" ref="L246">_xlfn.IFS(K246&gt;3.7,"A+",K246&gt;3.3,"A-",K246&gt;=2.8,"B+",K246&gt;2.3,"B-",K246&gt;=2,"C+",K246&gt;1.3,"C-",K246&gt;=1,"D+",K246&lt;=1,"F")</f>
        <v>A+</v>
      </c>
    </row>
    <row r="247" spans="1:12" x14ac:dyDescent="0.3">
      <c r="A247">
        <v>246</v>
      </c>
      <c r="B247" t="s">
        <v>256</v>
      </c>
      <c r="C247" t="s">
        <v>13</v>
      </c>
      <c r="D247">
        <v>13</v>
      </c>
      <c r="E247" t="s">
        <v>11</v>
      </c>
      <c r="F247">
        <v>28</v>
      </c>
      <c r="G247">
        <v>15</v>
      </c>
      <c r="H247">
        <v>25</v>
      </c>
      <c r="I247">
        <v>10</v>
      </c>
      <c r="J247">
        <f t="shared" si="3"/>
        <v>42.5</v>
      </c>
      <c r="K247">
        <f>Table1[[#This Row],[Percentage]]/100*4</f>
        <v>1.7</v>
      </c>
      <c r="L247" t="str" cm="1">
        <f t="array" ref="L247">_xlfn.IFS(K247&gt;3.7,"A+",K247&gt;3.3,"A-",K247&gt;=2.8,"B+",K247&gt;2.3,"B-",K247&gt;=2,"C+",K247&gt;1.3,"C-",K247&gt;=1,"D+",K247&lt;=1,"F")</f>
        <v>C-</v>
      </c>
    </row>
    <row r="248" spans="1:12" x14ac:dyDescent="0.3">
      <c r="A248">
        <v>247</v>
      </c>
      <c r="B248" t="s">
        <v>257</v>
      </c>
      <c r="C248" t="s">
        <v>10</v>
      </c>
      <c r="D248">
        <v>13</v>
      </c>
      <c r="E248" t="s">
        <v>14</v>
      </c>
      <c r="F248">
        <v>1</v>
      </c>
      <c r="G248">
        <v>4</v>
      </c>
      <c r="H248">
        <v>68</v>
      </c>
      <c r="I248">
        <v>65</v>
      </c>
      <c r="J248">
        <f t="shared" si="3"/>
        <v>54</v>
      </c>
      <c r="K248">
        <f>Table1[[#This Row],[Percentage]]/100*4</f>
        <v>2.16</v>
      </c>
      <c r="L248" t="str" cm="1">
        <f t="array" ref="L248">_xlfn.IFS(K248&gt;3.7,"A+",K248&gt;3.3,"A-",K248&gt;=2.8,"B+",K248&gt;2.3,"B-",K248&gt;=2,"C+",K248&gt;1.3,"C-",K248&gt;=1,"D+",K248&lt;=1,"F")</f>
        <v>C+</v>
      </c>
    </row>
    <row r="249" spans="1:12" x14ac:dyDescent="0.3">
      <c r="A249">
        <v>248</v>
      </c>
      <c r="B249" t="s">
        <v>258</v>
      </c>
      <c r="C249" t="s">
        <v>13</v>
      </c>
      <c r="D249">
        <v>15</v>
      </c>
      <c r="E249" t="s">
        <v>14</v>
      </c>
      <c r="F249">
        <v>93</v>
      </c>
      <c r="G249">
        <v>48</v>
      </c>
      <c r="H249">
        <v>82</v>
      </c>
      <c r="I249">
        <v>44</v>
      </c>
      <c r="J249">
        <f t="shared" si="3"/>
        <v>101.25</v>
      </c>
      <c r="K249">
        <f>Table1[[#This Row],[Percentage]]/100*4</f>
        <v>4.05</v>
      </c>
      <c r="L249" t="str" cm="1">
        <f t="array" ref="L249">_xlfn.IFS(K249&gt;3.7,"A+",K249&gt;3.3,"A-",K249&gt;=2.8,"B+",K249&gt;2.3,"B-",K249&gt;=2,"C+",K249&gt;1.3,"C-",K249&gt;=1,"D+",K249&lt;=1,"F")</f>
        <v>A+</v>
      </c>
    </row>
    <row r="250" spans="1:12" x14ac:dyDescent="0.3">
      <c r="A250">
        <v>249</v>
      </c>
      <c r="B250" t="s">
        <v>259</v>
      </c>
      <c r="C250" t="s">
        <v>10</v>
      </c>
      <c r="D250">
        <v>14</v>
      </c>
      <c r="E250" t="s">
        <v>14</v>
      </c>
      <c r="F250">
        <v>35</v>
      </c>
      <c r="G250">
        <v>73</v>
      </c>
      <c r="H250">
        <v>66</v>
      </c>
      <c r="I250">
        <v>59</v>
      </c>
      <c r="J250">
        <f t="shared" si="3"/>
        <v>125</v>
      </c>
      <c r="K250">
        <f>Table1[[#This Row],[Percentage]]/100*4</f>
        <v>5</v>
      </c>
      <c r="L250" t="str" cm="1">
        <f t="array" ref="L250">_xlfn.IFS(K250&gt;3.7,"A+",K250&gt;3.3,"A-",K250&gt;=2.8,"B+",K250&gt;2.3,"B-",K250&gt;=2,"C+",K250&gt;1.3,"C-",K250&gt;=1,"D+",K250&lt;=1,"F")</f>
        <v>A+</v>
      </c>
    </row>
    <row r="251" spans="1:12" x14ac:dyDescent="0.3">
      <c r="A251">
        <v>250</v>
      </c>
      <c r="B251" t="s">
        <v>260</v>
      </c>
      <c r="C251" t="s">
        <v>13</v>
      </c>
      <c r="D251">
        <v>15</v>
      </c>
      <c r="E251" t="s">
        <v>14</v>
      </c>
      <c r="F251">
        <v>50</v>
      </c>
      <c r="G251">
        <v>8</v>
      </c>
      <c r="H251">
        <v>80</v>
      </c>
      <c r="I251">
        <v>78</v>
      </c>
      <c r="J251">
        <f t="shared" si="3"/>
        <v>112.25</v>
      </c>
      <c r="K251">
        <f>Table1[[#This Row],[Percentage]]/100*4</f>
        <v>4.49</v>
      </c>
      <c r="L251" t="str" cm="1">
        <f t="array" ref="L251">_xlfn.IFS(K251&gt;3.7,"A+",K251&gt;3.3,"A-",K251&gt;=2.8,"B+",K251&gt;2.3,"B-",K251&gt;=2,"C+",K251&gt;1.3,"C-",K251&gt;=1,"D+",K251&lt;=1,"F")</f>
        <v>A+</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Mishti Garg</dc:creator>
  <cp:lastModifiedBy>Mishti Garg</cp:lastModifiedBy>
  <dcterms:created xsi:type="dcterms:W3CDTF">2026-01-24T08:07:59Z</dcterms:created>
  <dcterms:modified xsi:type="dcterms:W3CDTF">2026-02-09T13:24:35Z</dcterms:modified>
</cp:coreProperties>
</file>